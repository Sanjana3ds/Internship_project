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codeName="ThisWorkbook" defaultThemeVersion="124226"/>
  <mc:AlternateContent xmlns:mc="http://schemas.openxmlformats.org/markup-compatibility/2006">
    <mc:Choice Requires="x15">
      <x15ac:absPath xmlns:x15ac="http://schemas.microsoft.com/office/spreadsheetml/2010/11/ac" url="D:\work_dsi\PES\"/>
    </mc:Choice>
  </mc:AlternateContent>
  <xr:revisionPtr revIDLastSave="0" documentId="13_ncr:1_{B64A9CE9-8E28-48C2-A41C-0B5B08DFC189}" xr6:coauthVersionLast="47" xr6:coauthVersionMax="47" xr10:uidLastSave="{00000000-0000-0000-0000-000000000000}"/>
  <bookViews>
    <workbookView xWindow="-120" yWindow="-120" windowWidth="29040" windowHeight="15720" tabRatio="725" activeTab="3" xr2:uid="{00000000-000D-0000-FFFF-FFFF00000000}"/>
  </bookViews>
  <sheets>
    <sheet name="How to use the template" sheetId="13" r:id="rId1"/>
    <sheet name="PES Review" sheetId="14" r:id="rId2"/>
    <sheet name="Summary" sheetId="1" r:id="rId3"/>
    <sheet name="CheckList" sheetId="6" r:id="rId4"/>
    <sheet name="Review" sheetId="3" r:id="rId5"/>
    <sheet name="PES Structure" sheetId="8" state="hidden" r:id="rId6"/>
  </sheets>
  <definedNames>
    <definedName name="_xlnm._FilterDatabase" localSheetId="5" hidden="1">Summary!#REF!</definedName>
    <definedName name="Brand">'PES Review'!$C$3</definedName>
    <definedName name="Checklist">Table42[]</definedName>
    <definedName name="Issue_Severity">'PES Review'!$B$10:$B$12</definedName>
    <definedName name="Issue_Type">Table7[[#All],[Issue Type]]</definedName>
    <definedName name="PES_Name">CheckList!A1:A499</definedName>
    <definedName name="PES_Version">Table42[[#Headers],[V4R35-V4R39]:[V5R4 and after]]</definedName>
    <definedName name="PESTemplateVersion">'PES Review'!$C$4</definedName>
    <definedName name="ReviewComment">Table2[]</definedName>
    <definedName name="Role">'PES Structure'!$C$2:$C$7</definedName>
    <definedName name="Section">Table6[Section]</definedName>
    <definedName name="Summary">Table21[]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F79" i="6" l="1"/>
  <c r="F3" i="6"/>
  <c r="F4" i="6"/>
  <c r="F5" i="6"/>
  <c r="F6" i="6"/>
  <c r="F7" i="6"/>
  <c r="F8" i="6"/>
  <c r="F11" i="6"/>
  <c r="F12" i="6"/>
  <c r="F13" i="6"/>
  <c r="F14" i="6"/>
  <c r="F15" i="6"/>
  <c r="F16" i="6"/>
  <c r="F17" i="6"/>
  <c r="F18" i="6"/>
  <c r="F19" i="6"/>
  <c r="F20" i="6"/>
  <c r="F21" i="6"/>
  <c r="F22" i="6"/>
  <c r="F23" i="6"/>
  <c r="F24" i="6"/>
  <c r="F25" i="6"/>
  <c r="F26" i="6"/>
  <c r="F27" i="6"/>
  <c r="F28" i="6"/>
  <c r="F29" i="6"/>
  <c r="F30" i="6"/>
  <c r="F31" i="6"/>
  <c r="F32" i="6"/>
  <c r="F33" i="6"/>
  <c r="F9" i="6"/>
  <c r="F10"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80" i="6"/>
  <c r="F81" i="6"/>
  <c r="F82" i="6"/>
  <c r="F83" i="6"/>
  <c r="F84" i="6"/>
  <c r="F85" i="6"/>
  <c r="F86" i="6"/>
  <c r="F87" i="6"/>
  <c r="F88" i="6"/>
  <c r="F89" i="6"/>
  <c r="F90" i="6"/>
  <c r="F91" i="6"/>
  <c r="F92" i="6"/>
  <c r="F93" i="6"/>
  <c r="F94" i="6"/>
  <c r="F95" i="6"/>
  <c r="F96" i="6"/>
  <c r="F97" i="6"/>
  <c r="F98" i="6"/>
  <c r="F99" i="6"/>
  <c r="F100" i="6"/>
  <c r="F101" i="6"/>
  <c r="F102" i="6"/>
  <c r="F103" i="6"/>
  <c r="F104" i="6"/>
  <c r="F105" i="6"/>
  <c r="F106" i="6"/>
  <c r="F107" i="6"/>
  <c r="F108" i="6"/>
  <c r="F109" i="6"/>
  <c r="F110" i="6"/>
  <c r="F111" i="6"/>
  <c r="F112" i="6"/>
  <c r="F113" i="6"/>
  <c r="F114" i="6"/>
  <c r="F115" i="6"/>
  <c r="F116" i="6"/>
  <c r="F117" i="6"/>
  <c r="F118" i="6"/>
  <c r="F119" i="6"/>
  <c r="F120" i="6"/>
  <c r="F121" i="6"/>
  <c r="F122" i="6"/>
  <c r="F123" i="6"/>
  <c r="F124" i="6"/>
  <c r="F125" i="6"/>
  <c r="F126" i="6"/>
  <c r="F127" i="6"/>
  <c r="F128" i="6"/>
  <c r="F129" i="6"/>
  <c r="F130" i="6"/>
  <c r="F131" i="6"/>
  <c r="F132" i="6"/>
  <c r="F133" i="6"/>
  <c r="F134" i="6"/>
  <c r="F135" i="6"/>
  <c r="F136" i="6"/>
  <c r="F137" i="6"/>
  <c r="F138" i="6"/>
  <c r="F139" i="6"/>
  <c r="F140" i="6"/>
  <c r="F141" i="6"/>
  <c r="F142" i="6"/>
  <c r="F143" i="6"/>
  <c r="F144" i="6"/>
  <c r="F145" i="6"/>
  <c r="F146" i="6"/>
  <c r="F147" i="6"/>
  <c r="F148" i="6"/>
  <c r="F149" i="6"/>
  <c r="F150" i="6"/>
  <c r="F151" i="6"/>
  <c r="F152" i="6"/>
  <c r="F153" i="6"/>
  <c r="F154" i="6"/>
  <c r="F155" i="6"/>
  <c r="F156" i="6"/>
  <c r="F157" i="6"/>
  <c r="F158" i="6"/>
  <c r="F159" i="6"/>
  <c r="F160" i="6"/>
  <c r="F161" i="6"/>
  <c r="F162" i="6"/>
  <c r="F163" i="6"/>
  <c r="F164" i="6"/>
  <c r="F165" i="6"/>
  <c r="F166" i="6"/>
  <c r="F167" i="6"/>
  <c r="F168" i="6"/>
  <c r="F169" i="6"/>
  <c r="F170" i="6"/>
  <c r="F171" i="6"/>
  <c r="F172" i="6"/>
  <c r="F173" i="6"/>
  <c r="F174" i="6"/>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4" i="1"/>
  <c r="I4" i="1" l="1"/>
  <c r="I6" i="1"/>
  <c r="I8" i="1" l="1"/>
  <c r="I15" i="1"/>
  <c r="I14" i="1"/>
  <c r="I13" i="1"/>
  <c r="I12" i="1"/>
  <c r="I11" i="1"/>
  <c r="I10" i="1"/>
  <c r="I9" i="1"/>
  <c r="I5" i="1"/>
  <c r="I25" i="1"/>
  <c r="I26" i="1"/>
  <c r="I27" i="1"/>
  <c r="I28" i="1"/>
  <c r="I29" i="1"/>
  <c r="I30" i="1"/>
  <c r="I31" i="1"/>
  <c r="I32" i="1"/>
  <c r="I33" i="1"/>
  <c r="I34" i="1"/>
  <c r="I35" i="1"/>
  <c r="I36" i="1"/>
  <c r="I37" i="1"/>
  <c r="I38" i="1"/>
  <c r="I95" i="1"/>
  <c r="I94" i="1"/>
  <c r="I93" i="1"/>
  <c r="I99" i="1"/>
  <c r="K99" i="1" s="1"/>
  <c r="I98" i="1"/>
  <c r="I97" i="1"/>
  <c r="I91" i="1"/>
  <c r="K91" i="1" s="1"/>
  <c r="I90" i="1"/>
  <c r="K90" i="1" s="1"/>
  <c r="I89" i="1"/>
  <c r="K89" i="1" s="1"/>
  <c r="I88" i="1"/>
  <c r="K88" i="1" s="1"/>
  <c r="I87" i="1"/>
  <c r="K87" i="1" s="1"/>
  <c r="I86" i="1"/>
  <c r="K86" i="1" s="1"/>
  <c r="I85" i="1"/>
  <c r="K85" i="1" s="1"/>
  <c r="I84" i="1"/>
  <c r="I83" i="1"/>
  <c r="I82" i="1"/>
  <c r="I81" i="1"/>
  <c r="K81" i="1" s="1"/>
  <c r="I80" i="1"/>
  <c r="I79" i="1"/>
  <c r="I78" i="1"/>
  <c r="I77" i="1"/>
  <c r="I76" i="1"/>
  <c r="J76" i="1"/>
  <c r="I57" i="1"/>
  <c r="K57" i="1" s="1"/>
  <c r="I56" i="1"/>
  <c r="K56" i="1" s="1"/>
  <c r="I55" i="1"/>
  <c r="K55" i="1" s="1"/>
  <c r="I54" i="1"/>
  <c r="K54" i="1" s="1"/>
  <c r="I53" i="1"/>
  <c r="K53" i="1" s="1"/>
  <c r="I52" i="1"/>
  <c r="I51" i="1"/>
  <c r="I50" i="1"/>
  <c r="I49" i="1"/>
  <c r="K49" i="1" s="1"/>
  <c r="I48" i="1"/>
  <c r="K48" i="1" s="1"/>
  <c r="I47" i="1"/>
  <c r="I46" i="1"/>
  <c r="I45" i="1"/>
  <c r="I44" i="1"/>
  <c r="I43" i="1"/>
  <c r="I42" i="1"/>
  <c r="I41" i="1"/>
  <c r="K41" i="1" s="1"/>
  <c r="I40" i="1"/>
  <c r="K39" i="1"/>
  <c r="J39" i="1"/>
  <c r="I39" i="1"/>
  <c r="I23" i="1"/>
  <c r="I22" i="1"/>
  <c r="I21" i="1"/>
  <c r="I20" i="1"/>
  <c r="I19" i="1"/>
  <c r="K19" i="1" s="1"/>
  <c r="I18" i="1"/>
  <c r="I17" i="1"/>
  <c r="K16" i="1"/>
  <c r="J16" i="1"/>
  <c r="I16" i="1"/>
  <c r="I59" i="1"/>
  <c r="J59" i="1"/>
  <c r="K76" i="1" l="1"/>
  <c r="I75" i="1"/>
  <c r="K38" i="1"/>
  <c r="K37" i="1"/>
  <c r="K59" i="1" l="1"/>
  <c r="J92" i="1"/>
  <c r="I100" i="1"/>
  <c r="I101" i="1"/>
  <c r="I102" i="1"/>
  <c r="K102" i="1" s="1"/>
  <c r="K26" i="1"/>
  <c r="K30" i="1"/>
  <c r="I58" i="1"/>
  <c r="I60" i="1"/>
  <c r="I61" i="1"/>
  <c r="K61" i="1" s="1"/>
  <c r="I62" i="1"/>
  <c r="K62" i="1" s="1"/>
  <c r="I63" i="1"/>
  <c r="K63" i="1" s="1"/>
  <c r="I64" i="1"/>
  <c r="I65" i="1"/>
  <c r="K65" i="1" s="1"/>
  <c r="I66" i="1"/>
  <c r="K66" i="1" s="1"/>
  <c r="I67" i="1"/>
  <c r="K67" i="1" s="1"/>
  <c r="I68" i="1"/>
  <c r="K68" i="1" s="1"/>
  <c r="I69" i="1"/>
  <c r="K69" i="1" s="1"/>
  <c r="I70" i="1"/>
  <c r="I72" i="1"/>
  <c r="I73" i="1"/>
  <c r="I74" i="1"/>
  <c r="I92" i="1"/>
  <c r="K92" i="1" s="1"/>
  <c r="I96" i="1"/>
  <c r="E12" i="14"/>
  <c r="D12" i="14"/>
  <c r="E11" i="14"/>
  <c r="D11" i="14"/>
  <c r="E10" i="14"/>
  <c r="D10" i="14"/>
  <c r="F11" i="14" l="1"/>
  <c r="D13" i="14"/>
  <c r="I3" i="1"/>
  <c r="F10" i="14"/>
  <c r="E13" i="14"/>
  <c r="F12" i="14"/>
  <c r="J95" i="1" l="1"/>
  <c r="K95" i="1" s="1"/>
  <c r="J99" i="1"/>
  <c r="J19" i="1"/>
  <c r="J83" i="1"/>
  <c r="K83" i="1" s="1"/>
  <c r="J54" i="1"/>
  <c r="J43" i="1"/>
  <c r="K43" i="1" s="1"/>
  <c r="J98" i="1"/>
  <c r="K98" i="1" s="1"/>
  <c r="J78" i="1"/>
  <c r="K78" i="1" s="1"/>
  <c r="J23" i="1"/>
  <c r="K23" i="1" s="1"/>
  <c r="J87" i="1"/>
  <c r="J80" i="1"/>
  <c r="K80" i="1" s="1"/>
  <c r="J47" i="1"/>
  <c r="K47" i="1" s="1"/>
  <c r="J18" i="1"/>
  <c r="K18" i="1" s="1"/>
  <c r="J82" i="1"/>
  <c r="K82" i="1" s="1"/>
  <c r="J41" i="1"/>
  <c r="J91" i="1"/>
  <c r="J84" i="1"/>
  <c r="K84" i="1" s="1"/>
  <c r="J51" i="1"/>
  <c r="K51" i="1" s="1"/>
  <c r="J22" i="1"/>
  <c r="K22" i="1" s="1"/>
  <c r="J86" i="1"/>
  <c r="J45" i="1"/>
  <c r="K45" i="1" s="1"/>
  <c r="J93" i="1"/>
  <c r="K93" i="1" s="1"/>
  <c r="J88" i="1"/>
  <c r="J55" i="1"/>
  <c r="J40" i="1"/>
  <c r="K40" i="1" s="1"/>
  <c r="J90" i="1"/>
  <c r="J49" i="1"/>
  <c r="J20" i="1"/>
  <c r="K20" i="1" s="1"/>
  <c r="J97" i="1"/>
  <c r="K97" i="1" s="1"/>
  <c r="J77" i="1"/>
  <c r="K77" i="1" s="1"/>
  <c r="J44" i="1"/>
  <c r="K44" i="1" s="1"/>
  <c r="J53" i="1"/>
  <c r="J42" i="1"/>
  <c r="K42" i="1" s="1"/>
  <c r="J94" i="1"/>
  <c r="K94" i="1" s="1"/>
  <c r="J81" i="1"/>
  <c r="J48" i="1"/>
  <c r="J57" i="1"/>
  <c r="J46" i="1"/>
  <c r="K46" i="1" s="1"/>
  <c r="J17" i="1"/>
  <c r="K17" i="1" s="1"/>
  <c r="J85" i="1"/>
  <c r="J52" i="1"/>
  <c r="K52" i="1" s="1"/>
  <c r="J79" i="1"/>
  <c r="K79" i="1" s="1"/>
  <c r="J50" i="1"/>
  <c r="K50" i="1" s="1"/>
  <c r="J21" i="1"/>
  <c r="K21" i="1" s="1"/>
  <c r="J89" i="1"/>
  <c r="J56" i="1"/>
  <c r="J75" i="1"/>
  <c r="K75" i="1" s="1"/>
  <c r="J29" i="1"/>
  <c r="K29" i="1" s="1"/>
  <c r="J38" i="1"/>
  <c r="J37" i="1"/>
  <c r="J14" i="1"/>
  <c r="K14" i="1" s="1"/>
  <c r="J36" i="1"/>
  <c r="K36" i="1" s="1"/>
  <c r="J10" i="1"/>
  <c r="K10" i="1" s="1"/>
  <c r="J35" i="1"/>
  <c r="K35" i="1" s="1"/>
  <c r="J96" i="1"/>
  <c r="K96" i="1" s="1"/>
  <c r="J100" i="1"/>
  <c r="K100" i="1" s="1"/>
  <c r="J58" i="1"/>
  <c r="K58" i="1" s="1"/>
  <c r="J72" i="1"/>
  <c r="K72" i="1" s="1"/>
  <c r="J11" i="1"/>
  <c r="K11" i="1" s="1"/>
  <c r="J73" i="1"/>
  <c r="K73" i="1" s="1"/>
  <c r="J63" i="1"/>
  <c r="J65" i="1"/>
  <c r="J74" i="1"/>
  <c r="K74" i="1" s="1"/>
  <c r="J64" i="1"/>
  <c r="K64" i="1" s="1"/>
  <c r="J60" i="1"/>
  <c r="K60" i="1" s="1"/>
  <c r="J62" i="1"/>
  <c r="J5" i="1"/>
  <c r="K5" i="1" s="1"/>
  <c r="J15" i="1"/>
  <c r="K15" i="1" s="1"/>
  <c r="J27" i="1"/>
  <c r="K27" i="1" s="1"/>
  <c r="J4" i="1"/>
  <c r="J26" i="1"/>
  <c r="J34" i="1"/>
  <c r="K34" i="1" s="1"/>
  <c r="J66" i="1"/>
  <c r="J32" i="1"/>
  <c r="K32" i="1" s="1"/>
  <c r="J33" i="1"/>
  <c r="K33" i="1" s="1"/>
  <c r="J67" i="1"/>
  <c r="J8" i="1"/>
  <c r="K8" i="1" s="1"/>
  <c r="J101" i="1"/>
  <c r="K101" i="1" s="1"/>
  <c r="J25" i="1"/>
  <c r="K25" i="1" s="1"/>
  <c r="J61" i="1"/>
  <c r="J13" i="1"/>
  <c r="K13" i="1" s="1"/>
  <c r="J28" i="1"/>
  <c r="K28" i="1" s="1"/>
  <c r="J102" i="1"/>
  <c r="J31" i="1"/>
  <c r="K31" i="1" s="1"/>
  <c r="J70" i="1"/>
  <c r="K70" i="1" s="1"/>
  <c r="J9" i="1"/>
  <c r="K9" i="1" s="1"/>
  <c r="J68" i="1"/>
  <c r="J69" i="1"/>
  <c r="J6" i="1"/>
  <c r="K6" i="1" s="1"/>
  <c r="J12" i="1"/>
  <c r="K12" i="1" s="1"/>
  <c r="J30" i="1"/>
  <c r="F13" i="14"/>
  <c r="K4" i="1" l="1"/>
  <c r="J3" i="1"/>
  <c r="K3"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DURAND Aurelie</author>
  </authors>
  <commentList>
    <comment ref="C3" authorId="0" shapeId="0" xr:uid="{00000000-0006-0000-0100-000001000000}">
      <text>
        <r>
          <rPr>
            <sz val="9"/>
            <color indexed="81"/>
            <rFont val="Tahoma"/>
            <family val="2"/>
          </rPr>
          <t>Select your Brand to filter the checklist</t>
        </r>
      </text>
    </comment>
    <comment ref="C4" authorId="0" shapeId="0" xr:uid="{00000000-0006-0000-0100-000002000000}">
      <text>
        <r>
          <rPr>
            <sz val="9"/>
            <color indexed="81"/>
            <rFont val="Tahoma"/>
            <family val="2"/>
          </rPr>
          <t>Select the PES template version to filter the checklist</t>
        </r>
      </text>
    </comment>
    <comment ref="C5" authorId="0" shapeId="0" xr:uid="{00000000-0006-0000-0100-000003000000}">
      <text>
        <r>
          <rPr>
            <sz val="9"/>
            <color indexed="81"/>
            <rFont val="Tahoma"/>
            <charset val="1"/>
          </rPr>
          <t>Function ID with a link to DSxR&amp;D Authoring</t>
        </r>
      </text>
    </comment>
    <comment ref="C6" authorId="0" shapeId="0" xr:uid="{00000000-0006-0000-0100-000004000000}">
      <text>
        <r>
          <rPr>
            <sz val="9"/>
            <color indexed="81"/>
            <rFont val="Tahoma"/>
            <charset val="1"/>
          </rPr>
          <t>Function Name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DURAND Aurelie</author>
  </authors>
  <commentList>
    <comment ref="E2" authorId="0" shapeId="0" xr:uid="{00000000-0006-0000-0300-000001000000}">
      <text>
        <r>
          <rPr>
            <sz val="9"/>
            <color indexed="81"/>
            <rFont val="Tahoma"/>
            <family val="2"/>
          </rPr>
          <t>"Not Checked" means that the item hasn't been verified.
"Checked" means that the item has been verified.
   - if some issues have been raised during the verification (missing information, not  understood, etc.), they have to be logged in the Review Tab and the value set to "Checked"
   - if no issue has been raised during the verification the value must be set to "Checked"
   - if the sub-section is identified as N/A (wisely), the value must be set to "Checked"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DURAND Aurelie</author>
  </authors>
  <commentList>
    <comment ref="A2" authorId="0" shapeId="0" xr:uid="{00000000-0006-0000-0400-000001000000}">
      <text>
        <r>
          <rPr>
            <sz val="9"/>
            <color indexed="81"/>
            <rFont val="Tahoma"/>
            <family val="2"/>
          </rPr>
          <t>Unique ID of the comment 
[Trigram]-###</t>
        </r>
      </text>
    </comment>
    <comment ref="B2" authorId="0" shapeId="0" xr:uid="{00000000-0006-0000-0400-000002000000}">
      <text>
        <r>
          <rPr>
            <sz val="9"/>
            <color indexed="81"/>
            <rFont val="Tahoma"/>
            <family val="2"/>
          </rPr>
          <t>Trigram of the reviewer</t>
        </r>
      </text>
    </comment>
    <comment ref="C2" authorId="0" shapeId="0" xr:uid="{00000000-0006-0000-0400-000003000000}">
      <text>
        <r>
          <rPr>
            <sz val="9"/>
            <color indexed="81"/>
            <rFont val="Tahoma"/>
            <family val="2"/>
          </rPr>
          <t>Version Number of the PES Reviewed</t>
        </r>
      </text>
    </comment>
    <comment ref="D2" authorId="0" shapeId="0" xr:uid="{00000000-0006-0000-0400-000004000000}">
      <text>
        <r>
          <rPr>
            <sz val="9"/>
            <color indexed="81"/>
            <rFont val="Tahoma"/>
            <family val="2"/>
          </rPr>
          <t>Sub-Section concerned by the comment</t>
        </r>
      </text>
    </comment>
    <comment ref="E2" authorId="0" shapeId="0" xr:uid="{00000000-0006-0000-0400-000005000000}">
      <text>
        <r>
          <rPr>
            <sz val="9"/>
            <color indexed="81"/>
            <rFont val="Tahoma"/>
            <family val="2"/>
          </rPr>
          <t>Date of the comment</t>
        </r>
      </text>
    </comment>
    <comment ref="G2" authorId="0" shapeId="0" xr:uid="{00000000-0006-0000-0400-000006000000}">
      <text>
        <r>
          <rPr>
            <sz val="9"/>
            <color indexed="81"/>
            <rFont val="Tahoma"/>
            <family val="2"/>
          </rPr>
          <t>Issue Description</t>
        </r>
      </text>
    </comment>
    <comment ref="H2" authorId="0" shapeId="0" xr:uid="{00000000-0006-0000-0400-000007000000}">
      <text>
        <r>
          <rPr>
            <sz val="9"/>
            <color indexed="81"/>
            <rFont val="Tahoma"/>
            <family val="2"/>
          </rPr>
          <t xml:space="preserve">Severity of the issues. Possible Values:
- Major Issue - May Prevent PES to be approved 
- Minor Issue - Needs clarification before PES Approval 
- Cosmetic Remark - Should not block PES Approval </t>
        </r>
      </text>
    </comment>
    <comment ref="I2" authorId="0" shapeId="0" xr:uid="{00000000-0006-0000-0400-000008000000}">
      <text>
        <r>
          <rPr>
            <sz val="9"/>
            <color indexed="81"/>
            <rFont val="Tahoma"/>
            <family val="2"/>
          </rPr>
          <t>PES Author Answer to the issue. Possible Values:
- Accepted: the PES will be updated
- Rejected: the PES won't be updated</t>
        </r>
      </text>
    </comment>
    <comment ref="J2" authorId="0" shapeId="0" xr:uid="{00000000-0006-0000-0400-000009000000}">
      <text>
        <r>
          <rPr>
            <sz val="9"/>
            <color indexed="81"/>
            <rFont val="Tahoma"/>
            <family val="2"/>
          </rPr>
          <t>Precision on the answer</t>
        </r>
      </text>
    </comment>
    <comment ref="K2" authorId="0" shapeId="0" xr:uid="{00000000-0006-0000-0400-00000A000000}">
      <text>
        <r>
          <rPr>
            <sz val="9"/>
            <color indexed="81"/>
            <rFont val="Tahoma"/>
            <family val="2"/>
          </rPr>
          <t>- yes: the PES has been updated in the function
- no: the PES has not yet been updated</t>
        </r>
      </text>
    </comment>
    <comment ref="L2" authorId="0" shapeId="0" xr:uid="{00000000-0006-0000-0400-00000B000000}">
      <text>
        <r>
          <rPr>
            <sz val="9"/>
            <color indexed="81"/>
            <rFont val="Tahoma"/>
            <family val="2"/>
          </rPr>
          <t>Assessment of the reviewer on the answer
- Closed: the reviewer agrees with the answer of its issue and the PES reflects this answer
- Open: the reviewer doesn't agree with the answer or the PES doesn't reflect this answer</t>
        </r>
      </text>
    </comment>
    <comment ref="M2" authorId="0" shapeId="0" xr:uid="{00000000-0006-0000-0400-00000C000000}">
      <text>
        <r>
          <rPr>
            <sz val="9"/>
            <color indexed="81"/>
            <rFont val="Tahoma"/>
            <family val="2"/>
          </rPr>
          <t>Additionnal  comments of the reviewer on the answer</t>
        </r>
      </text>
    </comment>
  </commentList>
</comments>
</file>

<file path=xl/sharedStrings.xml><?xml version="1.0" encoding="utf-8"?>
<sst xmlns="http://schemas.openxmlformats.org/spreadsheetml/2006/main" count="2869" uniqueCount="367">
  <si>
    <t>Function ID</t>
  </si>
  <si>
    <t>Function Name</t>
  </si>
  <si>
    <t>PES Review Status</t>
  </si>
  <si>
    <t>TRIGRAM</t>
  </si>
  <si>
    <t>Role</t>
  </si>
  <si>
    <t>Review Date</t>
  </si>
  <si>
    <t>Major Issue - May Prevent PES to be approved</t>
  </si>
  <si>
    <t>Cosmetic Remark - Should not block PES Approval</t>
  </si>
  <si>
    <t>Total</t>
  </si>
  <si>
    <t>Review Comment</t>
  </si>
  <si>
    <t>Trigram</t>
  </si>
  <si>
    <t>Section</t>
  </si>
  <si>
    <t>Issue Found</t>
  </si>
  <si>
    <t>PES Updated</t>
  </si>
  <si>
    <t>Issue Status</t>
  </si>
  <si>
    <t>Comment</t>
  </si>
  <si>
    <t>N°</t>
  </si>
  <si>
    <t>Global Comments</t>
  </si>
  <si>
    <t>PES Section</t>
  </si>
  <si>
    <t>Check List</t>
  </si>
  <si>
    <t>Issues</t>
  </si>
  <si>
    <t>Closed</t>
  </si>
  <si>
    <t>Open</t>
  </si>
  <si>
    <t>CheckList</t>
  </si>
  <si>
    <t>ENOVIA</t>
  </si>
  <si>
    <t>DELMIA</t>
  </si>
  <si>
    <t>Severity</t>
  </si>
  <si>
    <t>PES Version</t>
  </si>
  <si>
    <t>Date</t>
  </si>
  <si>
    <t>Minor Issue - Needs clarification before PES Approval</t>
  </si>
  <si>
    <t>Answer</t>
  </si>
  <si>
    <t>Function Owner's Answer</t>
  </si>
  <si>
    <t>Reviewer Status</t>
  </si>
  <si>
    <t>Reviewer's Comments</t>
  </si>
  <si>
    <t>Additional Comments</t>
  </si>
  <si>
    <t>PES General Information</t>
  </si>
  <si>
    <t>Not Checked</t>
  </si>
  <si>
    <t>Table of Contents</t>
  </si>
  <si>
    <t>Is the rationale for changing the packaging explained?</t>
  </si>
  <si>
    <t>Is the lifecycle of that data specified?</t>
  </si>
  <si>
    <t>Are there new attributes being added to existing entities?</t>
  </si>
  <si>
    <t>Does the PES (if possible) provide target response time for interactive commands?</t>
  </si>
  <si>
    <t>Does the PES (if applicable) explain how PCS measurements are performed?</t>
  </si>
  <si>
    <t>Are there potential compatibility issues with OS type, version, language, or with other middleware?</t>
  </si>
  <si>
    <t>Does the PES clarify what "not supported" means?</t>
  </si>
  <si>
    <t>Is the objective of the test case clearly stated?</t>
  </si>
  <si>
    <t>Are all boundary conditions being tested?</t>
  </si>
  <si>
    <t>Other</t>
  </si>
  <si>
    <t>Are there any new terms being introduced that must be defined?</t>
  </si>
  <si>
    <t>Status</t>
  </si>
  <si>
    <t>2. Detailed Specifications</t>
  </si>
  <si>
    <t>Does it specify where (what repository) this newly created data is being persisted?</t>
  </si>
  <si>
    <t>Will DUC tests be impacted? What new DUC tests need to be created to test the migration?</t>
  </si>
  <si>
    <t>#</t>
  </si>
  <si>
    <t>Summary Tab</t>
  </si>
  <si>
    <t>CheckList Tab</t>
  </si>
  <si>
    <t>Review Tab</t>
  </si>
  <si>
    <t>PES Information</t>
  </si>
  <si>
    <t>1. High Level Specifications</t>
  </si>
  <si>
    <t>3. Detailed Limitations</t>
  </si>
  <si>
    <t>4. Acceptance Tests Protocols</t>
  </si>
  <si>
    <t>1.2 How this function fits into the customer’s business process</t>
  </si>
  <si>
    <t>1.3 What the function will do ?</t>
  </si>
  <si>
    <t>1.3.2 Quality of services including security controls</t>
  </si>
  <si>
    <t>1.4 What the function will not do ?</t>
  </si>
  <si>
    <t>1.5 Packaging</t>
  </si>
  <si>
    <t>2.1 External View / Behavior</t>
  </si>
  <si>
    <t>2.3 User Experience and Interactions</t>
  </si>
  <si>
    <t>2.4 Customization by end user or administrator</t>
  </si>
  <si>
    <t>2.5 Programming Interface</t>
  </si>
  <si>
    <t>2.5.1 Detailed API description</t>
  </si>
  <si>
    <t>2.5.2 Automation for command journaling</t>
  </si>
  <si>
    <t>2.6 Performance, Capacity and Scalability (PCS)</t>
  </si>
  <si>
    <t>2.7 Schema or other changes impacting multi-release compatibility</t>
  </si>
  <si>
    <t>2.8 Security Controls</t>
  </si>
  <si>
    <t>2.8.1 Confidentiality</t>
  </si>
  <si>
    <t>2.8.2 Integrity</t>
  </si>
  <si>
    <t>2.8.3 Availability</t>
  </si>
  <si>
    <t>2.8.4 Authentication</t>
  </si>
  <si>
    <t>2.8.5 Authorization</t>
  </si>
  <si>
    <t>4.1 Acceptance Test</t>
  </si>
  <si>
    <t>1.1 Related requirement and function target delivery</t>
  </si>
  <si>
    <t>1.3.1 Function Capability Overview / Conceptual Model</t>
  </si>
  <si>
    <t>2.2 Data Management</t>
  </si>
  <si>
    <t>2.2.1 Data Persistency</t>
  </si>
  <si>
    <t>2.2.2 Supported Input Data Types</t>
  </si>
  <si>
    <t>5. User Assistance</t>
  </si>
  <si>
    <t>6. PES Related Material</t>
  </si>
  <si>
    <t>5.1 User Documentation</t>
  </si>
  <si>
    <t>5.2 Embedded User Assistance (Tooltips, UA Panel, Etc.)</t>
  </si>
  <si>
    <t>5.3 3DSpace Baseline Behavior Support</t>
  </si>
  <si>
    <t>6.1 Reference Materials</t>
  </si>
  <si>
    <t>Can the options/settings be assigned to users/widgets or are they global?</t>
  </si>
  <si>
    <t>Does the PES (if possible) provide law (Calculation Rules) to explain evolution of response time based on data size?</t>
  </si>
  <si>
    <t>2.2.3 Expected Behavior on Each Input Data Type</t>
  </si>
  <si>
    <t>Requirements Project Manager</t>
  </si>
  <si>
    <t>User Experience Expert</t>
  </si>
  <si>
    <t>If the development impacts ENOVIA Subscription Legacy technology, are there events raised through publication/subscription?</t>
  </si>
  <si>
    <t>If the function is a V5 development, what is the scope of this function? Will it handle both - file system and PPR hub-based cases? Does it include LCA or VPM data?</t>
  </si>
  <si>
    <t>4.1.1 What's being tested</t>
  </si>
  <si>
    <t>4.1.2 Test Data</t>
  </si>
  <si>
    <t>4.1.3 Test Protocol</t>
  </si>
  <si>
    <t>4.1.4 Related Automatic Tests</t>
  </si>
  <si>
    <t>4.1.5 Test Verification</t>
  </si>
  <si>
    <t>4.1.6 Test Responsability</t>
  </si>
  <si>
    <t>4.3.1 What's being tested</t>
  </si>
  <si>
    <t>4.3.2 Scenario</t>
  </si>
  <si>
    <t>4.3.3 Data</t>
  </si>
  <si>
    <t>4.3.4 Environment</t>
  </si>
  <si>
    <t>4.3.5 Related Automatic Tests</t>
  </si>
  <si>
    <t>4.3.7 When to be run and measurements taken ?</t>
  </si>
  <si>
    <t>4.3.8 Limitations</t>
  </si>
  <si>
    <t>Brand</t>
  </si>
  <si>
    <t>3DEXPERIENCE</t>
  </si>
  <si>
    <t>BIOVIA</t>
  </si>
  <si>
    <t>CATIA</t>
  </si>
  <si>
    <t>GEOVIA</t>
  </si>
  <si>
    <t>R&amp;D INDUSTRY</t>
  </si>
  <si>
    <t>SIMULIA</t>
  </si>
  <si>
    <t>SOLIDWORKS</t>
  </si>
  <si>
    <t>TECHNO</t>
  </si>
  <si>
    <t>BRAND</t>
  </si>
  <si>
    <t>X</t>
  </si>
  <si>
    <t>Issue Severity</t>
  </si>
  <si>
    <t>PES Template Version</t>
  </si>
  <si>
    <t>V4R35-V4R39</t>
  </si>
  <si>
    <t>Checklist Progress</t>
  </si>
  <si>
    <t>Column1</t>
  </si>
  <si>
    <t>#item</t>
  </si>
  <si>
    <t>PES Review guidelines are available here</t>
  </si>
  <si>
    <t>Issue Type</t>
  </si>
  <si>
    <t>Unexpected Section</t>
  </si>
  <si>
    <t>Incomplete Information</t>
  </si>
  <si>
    <t>Inconsistent Information</t>
  </si>
  <si>
    <t>Unclear Information</t>
  </si>
  <si>
    <t>Misspelling</t>
  </si>
  <si>
    <t>Format Issue</t>
  </si>
  <si>
    <t>Suggestion</t>
  </si>
  <si>
    <t>#checked</t>
  </si>
  <si>
    <t>Progress</t>
  </si>
  <si>
    <t>Is each remark in specifications, illustrated by a schema or mockup to avoid misunderstanding?</t>
  </si>
  <si>
    <t>3DEXCITE</t>
  </si>
  <si>
    <t>QUINTIQ</t>
  </si>
  <si>
    <t>V4R40-V4R43</t>
  </si>
  <si>
    <t>Column2</t>
  </si>
  <si>
    <t>Type</t>
  </si>
  <si>
    <t>Part</t>
  </si>
  <si>
    <t>Are all the capabilities being tested?</t>
  </si>
  <si>
    <t>PES Review Tab</t>
  </si>
  <si>
    <t>Section 1 - 1 Related requirement(s)</t>
  </si>
  <si>
    <t>Section 1 - 3.1 Concepts</t>
  </si>
  <si>
    <t>Section 1 - 3.2 Function capabilities overview</t>
  </si>
  <si>
    <t>Section 1 - 3.3 Limitations</t>
  </si>
  <si>
    <t>Section 1 - 5 Commercial packaging</t>
  </si>
  <si>
    <t>Section 2 - 1 Packaging</t>
  </si>
  <si>
    <t>Section 2 - 2.1 User interface</t>
  </si>
  <si>
    <t>Section 2 - 2.2 User assistance</t>
  </si>
  <si>
    <t>Section 2 - 3 Data management</t>
  </si>
  <si>
    <t>Section 2 - 3.1 Supported object types</t>
  </si>
  <si>
    <t>Section 2 - 3.2 Expected behavior for each object type</t>
  </si>
  <si>
    <t>Section 2 - 3.3 Data persistency and/or upgrade</t>
  </si>
  <si>
    <t>Section 2 - 3.4 Data repository</t>
  </si>
  <si>
    <t>Section 2 - 4 Customization by end user or administrator</t>
  </si>
  <si>
    <t>Section 2 - 5 Programming Interface</t>
  </si>
  <si>
    <t>Section 2 - 5.1 Detailed API description</t>
  </si>
  <si>
    <t>Section 2 - 5.2 Automation for command journaling</t>
  </si>
  <si>
    <t>Section 3 - 1.1 Performance objectives</t>
  </si>
  <si>
    <t>Section 3 - 1.2 Capacity objectives</t>
  </si>
  <si>
    <t>Section 3 - 1.3 Scalabillity objectives</t>
  </si>
  <si>
    <t>Section 3 - 2 Security Controls</t>
  </si>
  <si>
    <t>Section 3 - 2.1 Confidentiality</t>
  </si>
  <si>
    <t>Section 3 - 2.2 Integrity</t>
  </si>
  <si>
    <t>Section 3 - 2.3 Availability</t>
  </si>
  <si>
    <t>Section 3 - 2.5 Authorization</t>
  </si>
  <si>
    <t>Section 3 - 3 Data privacy</t>
  </si>
  <si>
    <t>Section 4 - 1 Functional Acceptance Test</t>
  </si>
  <si>
    <t>Section 4 - 2 Limit &amp; Negative Acceptance Tests</t>
  </si>
  <si>
    <t>Section 6 - 1 Reference Materials</t>
  </si>
  <si>
    <t>Section 6 - 2 PES Authoring Rules Checklists</t>
  </si>
  <si>
    <t>Section 6. PES related material</t>
  </si>
  <si>
    <t>Section 4 - 4 Page Objects Usage in Acceptance Tests</t>
  </si>
  <si>
    <t>Section 2 - 2.3 Page Objects</t>
  </si>
  <si>
    <t>6.2 PES Authoring Rules Checklists</t>
  </si>
  <si>
    <t>V5R1-V5R3</t>
  </si>
  <si>
    <t>V5R4 and after</t>
  </si>
  <si>
    <t>This version of PES Review template is related to PES Template V5R5.1</t>
  </si>
  <si>
    <t>This tab gives an overview of the review</t>
  </si>
  <si>
    <t>This tab gives a view on checklist verification progress</t>
  </si>
  <si>
    <t>This tab contains the checklist items to be reviewed on the PES</t>
  </si>
  <si>
    <t>This tab contains one row by review issue</t>
  </si>
  <si>
    <t>Section 3. Quality of services</t>
  </si>
  <si>
    <t>Section 4. Acceptance Test Protocols</t>
  </si>
  <si>
    <t>Section 5. 3DSpace Baseline Behavior Support</t>
  </si>
  <si>
    <t>Section 1. High-Level specifications</t>
  </si>
  <si>
    <t>Section 1. High-level specifications</t>
  </si>
  <si>
    <t>Section 2. Detailed Specifications</t>
  </si>
  <si>
    <t>Is the Table of Contents up to date?</t>
  </si>
  <si>
    <t>User Assistance Developer</t>
  </si>
  <si>
    <t>Application Manager</t>
  </si>
  <si>
    <t>Quality Engineer</t>
  </si>
  <si>
    <t>Section 1 - 2 What will the customer use this for</t>
  </si>
  <si>
    <t>Section 1 - 3 What the function will do</t>
  </si>
  <si>
    <t>Section 1 - 4 What the function will not do</t>
  </si>
  <si>
    <t>Section 2 - 2 User experience and interactions</t>
  </si>
  <si>
    <t>Section 3 - 1 Performance, capacity and scalability (PCS)</t>
  </si>
  <si>
    <t>Section 3 - 2.4 Authentication</t>
  </si>
  <si>
    <t>Section 4 - 3 Performance/Capacity/Scalability Acceptance Tests</t>
  </si>
  <si>
    <t>Section 4 - 4 Page Objects usage in acceptance tests</t>
  </si>
  <si>
    <t>Does this section provide an overview of what the function will do (user data model, vocabulary)?</t>
  </si>
  <si>
    <t>Does this section provide an overview of what the function will do (behavior, use case,...)?</t>
  </si>
  <si>
    <t>Are the limitations of the funtion described and well understood?</t>
  </si>
  <si>
    <t>Does this PES provide all the UX/UI details related to the new development (function) and not only a description of the supported scenario?</t>
  </si>
  <si>
    <t>If the function includes user interfaces, are the user instructions to achieve a usage scenario (i.e. deletion of a file) described (including nonstandard interaction device, behavior on different types of devices or navigators)?</t>
  </si>
  <si>
    <t>Does this section describe drag/drop/copy/paste availability, double click behavior, mono/multiple selection support (for objects of the same or different type), undo/redo support?</t>
  </si>
  <si>
    <t>Is there a summary (with a unique schema/mockup) explaining the behavior?</t>
  </si>
  <si>
    <t>If the PES is related to widget development, does the PES explain interactions with other widgets/events and specify consistency/homogeneity between developments?</t>
  </si>
  <si>
    <t>For web development, does the PES provide reminder information about supported browsers?</t>
  </si>
  <si>
    <t>If commands or dialog boxes are added to the action bar, are they listed here?</t>
  </si>
  <si>
    <t>If the user guide of this function is required, are the user guide items mentioned in this section?</t>
  </si>
  <si>
    <t>Are all Page Objects needed to automatize the function tests are listed here (Developers are required to define and provide Page Object for each UI Element associated to the function)?</t>
  </si>
  <si>
    <t>Does the PES clarify the exhaustive list of supported types for this new development (function)?</t>
  </si>
  <si>
    <t>Is the data created or modified while using the function listed here (including data lifecycle, attributes, expected behavior for each data type)?</t>
  </si>
  <si>
    <t>Will DUC (Data Upgrade) tests be impacted? What new DUC tests need to be created to test the migration?</t>
  </si>
  <si>
    <t>Does this section specify if if this function is able to operate consistently with older release versions or with products designed for interoperability (including the description of compatibility key aspects)?</t>
  </si>
  <si>
    <t>The required information (Does this function require a change to the data model schema?) is filled and if it is "No" or "N/A" the reason is explained.</t>
  </si>
  <si>
    <t>The required information (Does this function require an upgrade procedure?) is filled and if it is "No" or "N/A" the reason is explained.</t>
  </si>
  <si>
    <t>The required information (Is this function related to 3DEXPERIENCE Baseline Behavior?) is filled and
- if it is "No" the reason is explained
- if it is "Yes" the dedicated section must be filled</t>
  </si>
  <si>
    <t>If the function enables customization, does the section explain how the user or the administrator can change the way the function behaves?</t>
  </si>
  <si>
    <t>What are the ways to administrate options/settings?</t>
  </si>
  <si>
    <t>If the function provides APIs to client, is there a use case provided and with which license, where is the doc page, what .edu contains the .m, what is the name of the FW?</t>
  </si>
  <si>
    <t>Are the PCS specs defined for this function (including potential impact on others functions, volume of data, required memory footprint)?</t>
  </si>
  <si>
    <t>Does the PES (if possible) provide a target response time for interactive commands?</t>
  </si>
  <si>
    <t>The required information (Does this function comply with security control rules for maintaining safe function usage?) is filled and if it is "No" the reason is explained.</t>
  </si>
  <si>
    <t>Is the objective of the test case clearly stated (What's being tested section)?</t>
  </si>
  <si>
    <t>Is the mapping between Page Objects and Acceptance Tests described here and complete (each Page Object must be covered by an ODT)?</t>
  </si>
  <si>
    <t>Drop-Down Review</t>
  </si>
  <si>
    <t>The required information (Does your function require Page Object delivery?) is filled.</t>
  </si>
  <si>
    <t>If PCS Impacts have been identified for the function, are there Acceptance Tests that cover those impacts?</t>
  </si>
  <si>
    <t>If this section is applicable to the function, is this section filled?</t>
  </si>
  <si>
    <t>ENOVIA Baseline and Parametrization Support:
- Is it supported in Mobile/Cloud?
- Is the functionality Baseline compliant?</t>
  </si>
  <si>
    <t>The function is referenced here with all the requirements related to the function, with the name of the client (internal or external) and the PES Target Release Program.</t>
  </si>
  <si>
    <t>All the requirements related to the function are referenced, with the name of the customer (internal or external).</t>
  </si>
  <si>
    <t>This section summarizes where the need for the function comes from and how it fits into the client process scenarios.</t>
  </si>
  <si>
    <t>Is it clear what end user processes/Scenarios are impacted/enhanced with this function?</t>
  </si>
  <si>
    <t>Is there any limitation to the types and amount of data that can be supported with this function?</t>
  </si>
  <si>
    <t xml:space="preserve">In case the function supports multiple data-types as entry point, the function can be specified by a matrix, is there a matrix? </t>
  </si>
  <si>
    <t>If this function involves interoperability, explain here any limitations regarding the release levels of the different applications.</t>
  </si>
  <si>
    <t>If the function involves database changes, is a migration script required?</t>
  </si>
  <si>
    <t>Has the volume of the data implied by an industrial usage of this function been evaluated?</t>
  </si>
  <si>
    <t>If the function impacts security controls, are the impacts (Confidentiality, Integrity, Availibility, Authentication, authorization) described in this section?</t>
  </si>
  <si>
    <t>If the function involves interoperability, is there a restriction on the release level of the other system (e.g., only works with CATIA V5 parts (not V4))?</t>
  </si>
  <si>
    <t>This section summarizes where the need for the function comes from and how it fits into the client use case.</t>
  </si>
  <si>
    <t>Does this section provide an overview of what the function will do (behavior, user data model, user interface concepts, vocabulary)?</t>
  </si>
  <si>
    <t>Is the added value/expected benefit of the function clear? What would marketing like to know about this function?</t>
  </si>
  <si>
    <t>4.3 Performance–Capacity–Scalability Acceptance Test</t>
  </si>
  <si>
    <t>Are there new concepts being introduced by this function? If so, make sure they are clearly explained in this section.</t>
  </si>
  <si>
    <t>Are there new entities being developed as part of this highlight? If so ensure:
 - Relationship to other entities is described
 - Rules/behavior for the new entity are defined
 - UML diagram is included (optional but usually very helpful)</t>
  </si>
  <si>
    <t>Is this highlight a multi-release highlight? If so, make sure that any function not being delivered in this first drop is specified.</t>
  </si>
  <si>
    <t>Is the high level specifications of “non functional” quality of service (performance, capacity, scalability, compatibility) described in this section?</t>
  </si>
  <si>
    <t>Is this highlight a multi-release highlight? If so, make sure that any functions not being delivered in this first drop are specified.</t>
  </si>
  <si>
    <t>Are the expected results well documented (test verification section)? If special techniques are required to verify the results, ensure that they are specified here (ex. Use an SQL query against a specific table).</t>
  </si>
  <si>
    <t>AT Completeness: 
- Is the acceptance test list covering the different usages of the function (including capabilities and limitations)?
- Acceptance tests include positive and negative tests.</t>
  </si>
  <si>
    <t>Are the expected results well documented? If special techniques are required to verify the results, ensure that they are specified here (ex. Use an SQL query against a specific table).</t>
  </si>
  <si>
    <t>After reading this section, are you able to visualize the L2/L3 test cases that you would need to write to correctly assess the quality of the highlight?</t>
  </si>
  <si>
    <t>Is the added value/expected benefits of the function clear? What would Marketing like to know about this function?</t>
  </si>
  <si>
    <t>If the function impacts security controls, are the impacts (Confidentialit, Integrity, Availibility) described in this section?</t>
  </si>
  <si>
    <t>Are the limitations elements of the specifications?
Ensure and verify that the limitations are not elements of the specifications.</t>
  </si>
  <si>
    <t>The behavior of the functionality is described (including access, results, main error cases).</t>
  </si>
  <si>
    <t>Negative/Boundary conditions should be documented here.</t>
  </si>
  <si>
    <t>Does this section provide a quick overview of what the function doesn’t do? In particular with respect to what was asked into the Requirement PER document.</t>
  </si>
  <si>
    <t>Is the list of Products/Roles and Apps required to access the function filled?</t>
  </si>
  <si>
    <t>Is the packaging impact filled and well described (including Product (Role/App) or Service (in which the function will be available)? Are the Product and Service Trigram mentioned?</t>
  </si>
  <si>
    <t>As much as possible, for new App or changes in architecture, is an architecture view to explain the changes provided?</t>
  </si>
  <si>
    <t>The behavior of the functionality is decribed (including access, the results, main error cases).</t>
  </si>
  <si>
    <t>If the function includes user interfaces, is it clear how the user will access the new function being delivered (icons, contextual menu, etc.)?</t>
  </si>
  <si>
    <t>Does this PES provide all the UX/UI related details related to the new development (function) and not only a description of the supported scenario?</t>
  </si>
  <si>
    <t>Is each remark in specifications illustrated by a schema or mockup to avoid misunderstanding?</t>
  </si>
  <si>
    <t>If the function enables customization, any new settings should be documented here.</t>
  </si>
  <si>
    <t>If there are new entities, are they customizable by administrators and users (can customers extend with additional attributes, etc)?</t>
  </si>
  <si>
    <t>If there are new entities, are they customizable by administrators and users (can customers extend with additional attributes, etc.)?</t>
  </si>
  <si>
    <t>Can the options/settings be persistent in the database?</t>
  </si>
  <si>
    <t>Are runtime flags involved?
Are the impacts of Variables defined?</t>
  </si>
  <si>
    <t>What User Exits will be available to the customer and where are they located (Server or Client Side)?
Precise the supported customization (CAA / data model / user exits / Business rules).</t>
  </si>
  <si>
    <t>Does this section describe the security controls which the end user of this function will benefit from? If it is not applicable, is it justifed?</t>
  </si>
  <si>
    <t>All AT are detailed with data used for the tests (Test Data section).</t>
  </si>
  <si>
    <t>Each Acceptance Test is described with a step by step scenario.</t>
  </si>
  <si>
    <t>All AT are detailed with pre-requisites needed for the tests (Test Protocol section).</t>
  </si>
  <si>
    <t>Does each Acceptance Test indicate whether it is being covered by a corresponding ODT (automated test) which is run by Development team (related automatic test section)? If yes, is it clear whether the entire acceptance test is covered or is it partially covered? Parts that are not covered by ODTs should be indicated in the PES.</t>
  </si>
  <si>
    <t>Are error messages and exceptions being covered in the acceptance tests?</t>
  </si>
  <si>
    <t>All ATs are detailed with data used for the tests.</t>
  </si>
  <si>
    <t>Each AT is described with a step by step scenario with clear expected result for each test.</t>
  </si>
  <si>
    <t>All ATs are detailed with pre-requisites needed for the tests.</t>
  </si>
  <si>
    <t>Does each Acceptance Test indicate whether it is being covered by a corresponding ODT (automated test) which is run by Development team? If yes, is it clear whether the entire acceptance test is covered or is it partially covered? Parts that are not covered by ODTs should be indicated in the PES.</t>
  </si>
  <si>
    <t>Is the Test Responsible correctly mentioned?
Test responsibility must be "R&amp;D DEV Only" at FCF.</t>
  </si>
  <si>
    <t>Are error messages and exceptions being covered in the Acceptance Tests?</t>
  </si>
  <si>
    <t>If PCS Impacts have been identified for the function, are there Acceptance Test that cover those impacts?</t>
  </si>
  <si>
    <t>The required information (does the function support the 3DSpace Baseline Behavior?) is filled and if it is "No" the reason is explained.</t>
  </si>
  <si>
    <t>If the user guide of this function is required, is the user guide item mentioned in this section?</t>
  </si>
  <si>
    <t>For each related document, is there a brief description of the document along with the location of the document?</t>
  </si>
  <si>
    <t>If there are some useful documents, are they referenced here (including User Experience Videos, Prototypes, …)?</t>
  </si>
  <si>
    <t>ENOVIA Baseline and Parametrization Support:
Is there any impact of the functionality mentioned in the Detailed Specifications in Baseline environment</t>
  </si>
  <si>
    <t>There is no link pointing to an internal function.</t>
  </si>
  <si>
    <t>For each link to another external function, ensure that the function Name and when it is/was delivered (FDxx) is mentioned.</t>
  </si>
  <si>
    <t>PES guidelines (generic instructions that are in the PES template) and references for formatting (e.g. Review check-list, PES Figures and Tables, index of tables etc.) have been removed from the PES.</t>
  </si>
  <si>
    <t>There are no careless mistakes/spelling mistakes in the PES.</t>
  </si>
  <si>
    <t>There is no sentence ending with "…".</t>
  </si>
  <si>
    <t>PES does not use shortcuts for functionalities in the PES which are not going to communicated to customers.
E.g.: Recommendation: use of "Product Structure Design" instead of "PSD" widget.</t>
  </si>
  <si>
    <t>There is only one PES for a given function on a specified Release/FDxx.</t>
  </si>
  <si>
    <t>There should be no annexes in the PES.</t>
  </si>
  <si>
    <t>The required information (4 questions in the first page) are filled and if it is "No" or "N/A" the reason is explained.</t>
  </si>
  <si>
    <t>The required information (3 questions in the first page) are filled and if it is "No" or "N/A" the reason is explained.</t>
  </si>
  <si>
    <t>Does the PES name match the function name?</t>
  </si>
  <si>
    <t>n</t>
  </si>
  <si>
    <t>ok</t>
  </si>
  <si>
    <t>OK / KO</t>
  </si>
  <si>
    <t>After reading this section, are you able to visualize the integration(l2) and system(l3) test cases that you would need to write to correctly assess the quality of the feature?</t>
  </si>
  <si>
    <t>Is this feature planned to be released over multiple versions? If so, ensure that any functionality not included in the initial release is clearly specified.</t>
  </si>
  <si>
    <t>Is a visual representation (such as diagram, schema, mockup)provided to clearly illustrate the expected behavior of the feature?</t>
  </si>
  <si>
    <t xml:space="preserve"> Is each remark in the specifications accompanied by a visual representation (such as a diagram, schema, or mockup) to prevent any misunderstandings?</t>
  </si>
  <si>
    <t>Does the system persist configuration options or user defined settings in the database ?</t>
  </si>
  <si>
    <t>Are configuration settings configurable at the user/UI component level, or are they system-wide(global)</t>
  </si>
  <si>
    <t>what mechanisms are available for administrator to manage/modify these configuration settings?</t>
  </si>
  <si>
    <t>ko</t>
  </si>
  <si>
    <t>official understanding of L2 and L3 is required</t>
  </si>
  <si>
    <t>product/service trigram is not specifed</t>
  </si>
  <si>
    <t>In the checklist question itself mentioned  "if possible " then no need to check whether it provides calculation rules , PCS measurements and target response time directly we can mark it as ok</t>
  </si>
  <si>
    <t>This question is present in the subsection 3.2 - Security controls but here it is mentioned under the subsection 3.3 - Data Privacy</t>
  </si>
  <si>
    <t>table for page object mapping is empty (1 page objet-&gt; 1 AT)    it needs lookup in other sections to evaluate this section</t>
  </si>
  <si>
    <t>Not understood the question</t>
  </si>
  <si>
    <t>understood the first part of the question but failed to understand 2nd part of the question</t>
  </si>
  <si>
    <t xml:space="preserve">Not understood </t>
  </si>
  <si>
    <t>2nd part of question is not understood</t>
  </si>
  <si>
    <t>Need to review and reframe the question what is options/settings is not clear</t>
  </si>
  <si>
    <t>here what is summary I did not understood and need to reframe the question</t>
  </si>
  <si>
    <t>not understood the question</t>
  </si>
  <si>
    <t>rephrased questions</t>
  </si>
  <si>
    <t>The rules and behaviors for these new entities are well-defined.</t>
  </si>
  <si>
    <t>A UML diagram is provided to illustrate these relationships (optional but helpful).</t>
  </si>
  <si>
    <t>Are there any new data entities introduced in this feature?If so ensure:-The relationships between these new entities and existing ones are clearly described. The rules and behaviors for these new entities are well-defined.A UML diagram is provided to illustrate these relationships (optional but helpful).</t>
  </si>
  <si>
    <t>only the objective of the PCS specs is defined (impacts on other function, volume of data and memory footprint is not defined)</t>
  </si>
  <si>
    <t xml:space="preserve">Negative/boundary conditions were documented in Acceptance test section under limit and negative Acceptance  Test but not in this section      (inside what the function will do section there is a subsection named  limitation there negative /boundary conditions were documented) </t>
  </si>
  <si>
    <t>AI REVIEW</t>
  </si>
  <si>
    <t>here what is schema/mockup I'm  not understood and need to reframe the question</t>
  </si>
  <si>
    <t>PES template, authoring  guide says "mention test code (odt), if any". 1) PES review checklist is not aligned with this 2) It doesn't mention to write name of odt 3) It doesn't mention to write coverage (full/partial) of acceptance test case 4) It also doen't mention to write parts which are not covered     - What about asssement of this question cumulatively (for all ATs)</t>
  </si>
  <si>
    <t>Is the mapping between Page Object and Acceptance Tests described in the relevant section of the PES</t>
  </si>
  <si>
    <t>REASON</t>
  </si>
  <si>
    <t>All functional acceptance tests have a clear "What's being tested?" section that describes the objective.</t>
  </si>
  <si>
    <t>The second functional acceptance test (AT-2) mentions "None" in the "Test Data" section, indicating that no specific test data is provided for this test.</t>
  </si>
  <si>
    <t>All functional acceptance tests provide a step-by-step scenario in the "Test Protocol" section.</t>
  </si>
  <si>
    <t>All functional acceptance tests include pre-requisites in the "Test Protocol" section.</t>
  </si>
  <si>
    <t xml:space="preserve"> All functional acceptance tests have a "Related automatic tests" section that mentions "None," indicating that no automated tests are provided for these tests.</t>
  </si>
  <si>
    <t>All functional acceptance tests have a "Test verification" section that documents the expected results.</t>
  </si>
  <si>
    <t>The functional acceptance tests cover all the capabilities mentioned in the PES.</t>
  </si>
  <si>
    <t>The limit and negative acceptance tests cover boundary conditions, such as partial deletion of content and no modification for a non-leading team member.</t>
  </si>
  <si>
    <t xml:space="preserve"> The limit and negative acceptance tests cover error messages and exceptions, such as the error message for partial deletion of content.</t>
  </si>
  <si>
    <t>The PES mentions PCS objectives, but there are no specific acceptance tests provided for Performance/Capacity/Scalability in Section 4 - 3. The section states "None" for PCS tests.</t>
  </si>
  <si>
    <t>The PES mentions that Page Objects are required, but the mapping between Page Objects and Acceptance Tests is not described. The section for Page Objects usage by acceptance tests is empty.</t>
  </si>
  <si>
    <t xml:space="preserve"> Is it indicated whether each Acceptance Test is covered by a corresponding ODT (automated test), which is run by Development team (related automatic test section) if applicable?</t>
  </si>
  <si>
    <t>even for one AT the test data section is not mentioned then it is ---&gt;ko</t>
  </si>
  <si>
    <t>Are there any Acceptance Tests that cover Performance, Capacity, and Scalability (PCS) impacts, if identified for the function?</t>
  </si>
  <si>
    <t>The PES explicitly defines PCS objectives, including performance, capacity, and scalability. It mentions the impact on other functions and the volume of data.</t>
  </si>
  <si>
    <t>The PES does not explicitly evaluate or mention the volume of data implied by industrial usage</t>
  </si>
  <si>
    <t xml:space="preserve"> The PES provides a target response time for interactive commands, specifying that the Extended Collaboration Control Center App opens a Collaboration in Edit mode in less than 2 seconds and modifies a collaboration in less than 3 seconds.</t>
  </si>
  <si>
    <t>The PES does not provide calculation rules to explain the evolution of response time based on data size.</t>
  </si>
  <si>
    <t>The PES does not provide any details on how PCS measurements are conducted or the methodology used for these measurements.</t>
  </si>
  <si>
    <t>The PES does not describe the impacts on security controls such as Confidentiality, Integrity, Availability, Authentication, and Authorization.</t>
  </si>
  <si>
    <t>The PES indicates that the function complies with security control rules for maintaining safe function usage, and no further explanation is needed as the answer is "Yes."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</si>
</sst>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 #,##0.00\ &quot;€&quot;_-;\-* #,##0.00\ &quot;€&quot;_-;_-* &quot;-&quot;??\ &quot;€&quot;_-;_-@_-"/>
    <numFmt numFmtId="165" formatCode="yyyy/mm/dd"/>
  </numFmts>
  <fonts count="19" x14ac:knownFonts="1">
    <font>
      <sz val="11"/>
      <color theme="1"/>
      <name val="Calibri"/>
      <family val="2"/>
      <scheme val="minor"/>
    </font>
    <font>
      <sz val="10"/>
      <name val="Arial"/>
      <family val="2"/>
    </font>
    <font>
      <u/>
      <sz val="10"/>
      <color indexed="12"/>
      <name val="Arial"/>
      <family val="2"/>
    </font>
    <font>
      <sz val="11"/>
      <color theme="1"/>
      <name val="Calibri"/>
      <family val="2"/>
      <scheme val="minor"/>
    </font>
    <font>
      <sz val="9"/>
      <color indexed="81"/>
      <name val="Tahoma"/>
      <family val="2"/>
    </font>
    <font>
      <b/>
      <sz val="11"/>
      <name val="Calibri"/>
      <family val="2"/>
      <scheme val="minor"/>
    </font>
    <font>
      <sz val="11"/>
      <name val="Calibri"/>
      <family val="2"/>
      <scheme val="minor"/>
    </font>
    <font>
      <sz val="10"/>
      <name val="Arial"/>
    </font>
    <font>
      <sz val="9"/>
      <color indexed="81"/>
      <name val="Tahoma"/>
      <charset val="1"/>
    </font>
    <font>
      <b/>
      <sz val="14"/>
      <color theme="1"/>
      <name val="Calibri"/>
      <family val="2"/>
      <scheme val="minor"/>
    </font>
    <font>
      <b/>
      <sz val="11"/>
      <color rgb="FFFF0000"/>
      <name val="Calibri"/>
      <family val="2"/>
      <scheme val="minor"/>
    </font>
    <font>
      <b/>
      <sz val="11"/>
      <color theme="1"/>
      <name val="Calibri"/>
      <family val="2"/>
      <scheme val="minor"/>
    </font>
    <font>
      <b/>
      <sz val="12"/>
      <color theme="1"/>
      <name val="Calibri"/>
      <family val="2"/>
      <scheme val="minor"/>
    </font>
    <font>
      <u/>
      <sz val="11"/>
      <color theme="10"/>
      <name val="Calibri"/>
      <family val="2"/>
      <scheme val="minor"/>
    </font>
    <font>
      <b/>
      <sz val="11"/>
      <color theme="0"/>
      <name val="Calibri"/>
      <family val="2"/>
      <scheme val="minor"/>
    </font>
    <font>
      <sz val="11"/>
      <color rgb="FF4F81BD"/>
      <name val="Calibri"/>
      <family val="2"/>
      <scheme val="minor"/>
    </font>
    <font>
      <b/>
      <sz val="12"/>
      <color rgb="FF4F81BD"/>
      <name val="Calibri"/>
      <family val="2"/>
      <scheme val="minor"/>
    </font>
    <font>
      <sz val="11"/>
      <color rgb="FF000000"/>
      <name val="Calibri"/>
      <family val="2"/>
      <scheme val="minor"/>
    </font>
    <font>
      <sz val="8"/>
      <name val="Calibri"/>
      <family val="2"/>
      <scheme val="minor"/>
    </font>
  </fonts>
  <fills count="13">
    <fill>
      <patternFill patternType="none"/>
    </fill>
    <fill>
      <patternFill patternType="gray125"/>
    </fill>
    <fill>
      <patternFill patternType="solid">
        <fgColor theme="3" tint="0.39997558519241921"/>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4" tint="0.59999389629810485"/>
        <bgColor theme="4" tint="0.59999389629810485"/>
      </patternFill>
    </fill>
    <fill>
      <patternFill patternType="solid">
        <fgColor rgb="FF4F81BD"/>
        <bgColor indexed="64"/>
      </patternFill>
    </fill>
    <fill>
      <patternFill patternType="solid">
        <fgColor rgb="FFB8CCE4"/>
        <bgColor indexed="64"/>
      </patternFill>
    </fill>
    <fill>
      <patternFill patternType="solid">
        <fgColor theme="4"/>
        <bgColor theme="4"/>
      </patternFill>
    </fill>
    <fill>
      <patternFill patternType="solid">
        <fgColor theme="9" tint="0.79998168889431442"/>
        <bgColor indexed="64"/>
      </patternFill>
    </fill>
    <fill>
      <patternFill patternType="solid">
        <fgColor rgb="FF92D05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0"/>
      </bottom>
      <diagonal/>
    </border>
  </borders>
  <cellStyleXfs count="14">
    <xf numFmtId="0" fontId="0" fillId="0" borderId="0"/>
    <xf numFmtId="0" fontId="1" fillId="0" borderId="0"/>
    <xf numFmtId="0" fontId="1" fillId="0" borderId="0"/>
    <xf numFmtId="0" fontId="1" fillId="0" borderId="0"/>
    <xf numFmtId="0" fontId="2" fillId="0" borderId="0" applyNumberFormat="0" applyFill="0" applyBorder="0" applyAlignment="0" applyProtection="0">
      <alignment vertical="top"/>
      <protection locked="0"/>
    </xf>
    <xf numFmtId="0" fontId="1" fillId="0" borderId="0"/>
    <xf numFmtId="0" fontId="1" fillId="0" borderId="0"/>
    <xf numFmtId="164" fontId="3" fillId="0" borderId="0" applyFont="0" applyFill="0" applyBorder="0" applyAlignment="0" applyProtection="0"/>
    <xf numFmtId="0" fontId="7" fillId="0" borderId="0"/>
    <xf numFmtId="0" fontId="3" fillId="0" borderId="0"/>
    <xf numFmtId="9" fontId="3" fillId="0" borderId="0" applyFont="0" applyFill="0" applyBorder="0" applyAlignment="0" applyProtection="0"/>
    <xf numFmtId="0" fontId="1" fillId="0" borderId="0"/>
    <xf numFmtId="0" fontId="13" fillId="0" borderId="0" applyNumberFormat="0" applyFill="0" applyBorder="0" applyAlignment="0" applyProtection="0"/>
    <xf numFmtId="164" fontId="3" fillId="0" borderId="0" applyFont="0" applyFill="0" applyBorder="0" applyAlignment="0" applyProtection="0"/>
  </cellStyleXfs>
  <cellXfs count="124">
    <xf numFmtId="0" fontId="0" fillId="0" borderId="0" xfId="0"/>
    <xf numFmtId="0" fontId="0" fillId="0" borderId="0" xfId="0" applyBorder="1"/>
    <xf numFmtId="0" fontId="0" fillId="0" borderId="0" xfId="0" applyAlignment="1">
      <alignment horizontal="left" vertical="top"/>
    </xf>
    <xf numFmtId="0" fontId="9" fillId="2" borderId="0" xfId="0" applyFont="1" applyFill="1"/>
    <xf numFmtId="0" fontId="0" fillId="0" borderId="0" xfId="0" applyFill="1"/>
    <xf numFmtId="0" fontId="10" fillId="0" borderId="0" xfId="0" applyFont="1"/>
    <xf numFmtId="0" fontId="0" fillId="0" borderId="0" xfId="0"/>
    <xf numFmtId="0" fontId="0" fillId="0" borderId="0" xfId="0"/>
    <xf numFmtId="0" fontId="0" fillId="0" borderId="23" xfId="7" applyNumberFormat="1" applyFont="1" applyBorder="1"/>
    <xf numFmtId="0" fontId="6" fillId="9" borderId="19" xfId="0" applyFont="1" applyFill="1" applyBorder="1"/>
    <xf numFmtId="0" fontId="6" fillId="9" borderId="20" xfId="0" applyFont="1" applyFill="1" applyBorder="1"/>
    <xf numFmtId="0" fontId="6" fillId="9" borderId="21" xfId="0" applyFont="1" applyFill="1" applyBorder="1"/>
    <xf numFmtId="0" fontId="5" fillId="10" borderId="0" xfId="0" applyFont="1" applyFill="1" applyBorder="1" applyAlignment="1">
      <alignment horizontal="center" vertical="top" wrapText="1"/>
    </xf>
    <xf numFmtId="1" fontId="5" fillId="10" borderId="0" xfId="0" applyNumberFormat="1" applyFont="1" applyFill="1" applyBorder="1" applyAlignment="1">
      <alignment horizontal="center" vertical="top" wrapText="1"/>
    </xf>
    <xf numFmtId="0" fontId="15" fillId="0" borderId="0" xfId="0" applyFont="1" applyBorder="1"/>
    <xf numFmtId="0" fontId="12" fillId="8" borderId="0" xfId="0" applyFont="1" applyFill="1" applyBorder="1"/>
    <xf numFmtId="0" fontId="6" fillId="0" borderId="0" xfId="0" applyFont="1" applyFill="1" applyBorder="1" applyAlignment="1">
      <alignment horizontal="left" vertical="top" wrapText="1"/>
    </xf>
    <xf numFmtId="1" fontId="6" fillId="0" borderId="0" xfId="0" applyNumberFormat="1" applyFont="1" applyFill="1" applyBorder="1" applyAlignment="1">
      <alignment horizontal="right" vertical="top" wrapText="1"/>
    </xf>
    <xf numFmtId="1" fontId="11" fillId="8" borderId="0" xfId="0" applyNumberFormat="1" applyFont="1" applyFill="1" applyBorder="1" applyAlignment="1"/>
    <xf numFmtId="1" fontId="12" fillId="8" borderId="0" xfId="0" applyNumberFormat="1" applyFont="1" applyFill="1" applyBorder="1" applyAlignment="1"/>
    <xf numFmtId="1" fontId="6" fillId="0" borderId="0" xfId="0" applyNumberFormat="1" applyFont="1" applyFill="1" applyBorder="1" applyAlignment="1">
      <alignment vertical="top" wrapText="1"/>
    </xf>
    <xf numFmtId="0" fontId="5" fillId="10" borderId="0" xfId="0" applyFont="1" applyFill="1" applyBorder="1" applyAlignment="1">
      <alignment vertical="top" wrapText="1"/>
    </xf>
    <xf numFmtId="1" fontId="5" fillId="10" borderId="0" xfId="0" applyNumberFormat="1" applyFont="1" applyFill="1" applyBorder="1" applyAlignment="1">
      <alignment vertical="top" wrapText="1"/>
    </xf>
    <xf numFmtId="0" fontId="0" fillId="0" borderId="0" xfId="0" applyAlignment="1"/>
    <xf numFmtId="0" fontId="0" fillId="0" borderId="28" xfId="0" applyBorder="1"/>
    <xf numFmtId="0" fontId="11" fillId="8" borderId="29" xfId="0" applyFont="1" applyFill="1" applyBorder="1" applyAlignment="1"/>
    <xf numFmtId="0" fontId="12" fillId="8" borderId="28" xfId="0" applyFont="1" applyFill="1" applyBorder="1"/>
    <xf numFmtId="9" fontId="12" fillId="8" borderId="29" xfId="10" applyFont="1" applyFill="1" applyBorder="1" applyAlignment="1"/>
    <xf numFmtId="0" fontId="6" fillId="0" borderId="28" xfId="0" applyFont="1" applyFill="1" applyBorder="1" applyAlignment="1">
      <alignment horizontal="left" vertical="top" wrapText="1"/>
    </xf>
    <xf numFmtId="9" fontId="0" fillId="0" borderId="29" xfId="10" applyFont="1" applyFill="1" applyBorder="1" applyAlignment="1"/>
    <xf numFmtId="0" fontId="5" fillId="10" borderId="28" xfId="0" applyFont="1" applyFill="1" applyBorder="1" applyAlignment="1">
      <alignment horizontal="center" vertical="top" wrapText="1"/>
    </xf>
    <xf numFmtId="9" fontId="5" fillId="10" borderId="29" xfId="0" applyNumberFormat="1" applyFont="1" applyFill="1" applyBorder="1" applyAlignment="1">
      <alignment vertical="top" wrapText="1"/>
    </xf>
    <xf numFmtId="9" fontId="0" fillId="0" borderId="29" xfId="10" applyFont="1" applyFill="1" applyBorder="1"/>
    <xf numFmtId="9" fontId="5" fillId="10" borderId="29" xfId="0" applyNumberFormat="1" applyFont="1" applyFill="1" applyBorder="1" applyAlignment="1">
      <alignment horizontal="center" vertical="top" wrapText="1"/>
    </xf>
    <xf numFmtId="0" fontId="6" fillId="0" borderId="30" xfId="0" applyFont="1" applyFill="1" applyBorder="1" applyAlignment="1">
      <alignment horizontal="left" vertical="top" wrapText="1"/>
    </xf>
    <xf numFmtId="0" fontId="6" fillId="0" borderId="31" xfId="0" applyFont="1" applyFill="1" applyBorder="1" applyAlignment="1">
      <alignment horizontal="left" vertical="top" wrapText="1"/>
    </xf>
    <xf numFmtId="1" fontId="6" fillId="0" borderId="31" xfId="0" applyNumberFormat="1" applyFont="1" applyFill="1" applyBorder="1" applyAlignment="1">
      <alignment vertical="top" wrapText="1"/>
    </xf>
    <xf numFmtId="9" fontId="0" fillId="0" borderId="32" xfId="10" applyFont="1" applyFill="1" applyBorder="1" applyAlignment="1"/>
    <xf numFmtId="0" fontId="0" fillId="0" borderId="0" xfId="0" applyFill="1" applyAlignment="1">
      <alignment horizontal="left" vertical="top" wrapText="1"/>
    </xf>
    <xf numFmtId="0" fontId="5" fillId="0" borderId="28" xfId="0" applyFont="1" applyFill="1" applyBorder="1" applyAlignment="1">
      <alignment horizontal="left" vertical="top" wrapText="1"/>
    </xf>
    <xf numFmtId="0" fontId="6" fillId="0" borderId="0" xfId="0" applyFont="1" applyFill="1" applyBorder="1" applyAlignment="1">
      <alignment vertical="top" wrapText="1"/>
    </xf>
    <xf numFmtId="0" fontId="0" fillId="0" borderId="0" xfId="0"/>
    <xf numFmtId="0" fontId="0" fillId="0" borderId="0" xfId="0" applyAlignment="1">
      <alignment horizontal="left" vertical="top" wrapText="1"/>
    </xf>
    <xf numFmtId="1" fontId="12" fillId="8" borderId="0" xfId="0" applyNumberFormat="1" applyFont="1" applyFill="1" applyBorder="1" applyAlignment="1"/>
    <xf numFmtId="0" fontId="5" fillId="10" borderId="0" xfId="0" applyFont="1" applyFill="1" applyBorder="1" applyAlignment="1">
      <alignment vertical="top" wrapText="1"/>
    </xf>
    <xf numFmtId="9" fontId="0" fillId="0" borderId="29" xfId="10" applyFont="1" applyFill="1" applyBorder="1"/>
    <xf numFmtId="0" fontId="6" fillId="0" borderId="28" xfId="0" applyFont="1" applyFill="1" applyBorder="1" applyAlignment="1">
      <alignment horizontal="left" vertical="top" wrapText="1" indent="1"/>
    </xf>
    <xf numFmtId="0" fontId="0" fillId="0" borderId="0" xfId="0" applyFont="1"/>
    <xf numFmtId="0" fontId="0" fillId="0" borderId="0" xfId="0" applyFont="1" applyAlignment="1">
      <alignment horizontal="left" vertical="top" wrapText="1"/>
    </xf>
    <xf numFmtId="0" fontId="17" fillId="0" borderId="0" xfId="0" applyFont="1" applyAlignment="1">
      <alignment horizontal="left" vertical="top" wrapText="1"/>
    </xf>
    <xf numFmtId="0" fontId="0" fillId="0" borderId="0" xfId="0" applyFont="1" applyAlignment="1">
      <alignment wrapText="1"/>
    </xf>
    <xf numFmtId="0" fontId="0" fillId="0" borderId="0" xfId="0" applyFont="1" applyAlignment="1">
      <alignment vertical="center"/>
    </xf>
    <xf numFmtId="0" fontId="0" fillId="3" borderId="0" xfId="0" applyFont="1" applyFill="1" applyBorder="1" applyAlignment="1">
      <alignment vertical="center"/>
    </xf>
    <xf numFmtId="0" fontId="0" fillId="3" borderId="0" xfId="0" applyFont="1" applyFill="1" applyBorder="1" applyAlignment="1">
      <alignment vertical="center" wrapText="1"/>
    </xf>
    <xf numFmtId="0" fontId="0" fillId="5" borderId="0" xfId="0" applyFont="1" applyFill="1" applyBorder="1" applyAlignment="1">
      <alignment vertical="center"/>
    </xf>
    <xf numFmtId="0" fontId="0" fillId="5" borderId="0" xfId="0" applyFont="1" applyFill="1" applyBorder="1" applyAlignment="1">
      <alignment vertical="center" wrapText="1"/>
    </xf>
    <xf numFmtId="0" fontId="0" fillId="0" borderId="0" xfId="0" applyFont="1" applyBorder="1" applyAlignment="1">
      <alignment vertical="center"/>
    </xf>
    <xf numFmtId="165" fontId="0" fillId="0" borderId="0" xfId="0" applyNumberFormat="1" applyFont="1" applyBorder="1" applyAlignment="1">
      <alignment vertical="center"/>
    </xf>
    <xf numFmtId="165" fontId="0" fillId="0" borderId="0" xfId="0" applyNumberFormat="1" applyFont="1" applyBorder="1" applyAlignment="1">
      <alignment vertical="center" wrapText="1"/>
    </xf>
    <xf numFmtId="0" fontId="0" fillId="0" borderId="0" xfId="0" applyFont="1" applyBorder="1" applyAlignment="1">
      <alignment vertical="center" wrapText="1"/>
    </xf>
    <xf numFmtId="0" fontId="0" fillId="7" borderId="0" xfId="0" applyFont="1" applyFill="1" applyBorder="1" applyAlignment="1">
      <alignment vertical="center"/>
    </xf>
    <xf numFmtId="0" fontId="0" fillId="0" borderId="0" xfId="0" applyFont="1" applyAlignment="1">
      <alignment vertical="center" wrapText="1"/>
    </xf>
    <xf numFmtId="0" fontId="0" fillId="9" borderId="4" xfId="0" applyFont="1" applyFill="1" applyBorder="1"/>
    <xf numFmtId="0" fontId="0" fillId="9" borderId="6" xfId="0" applyFont="1" applyFill="1" applyBorder="1"/>
    <xf numFmtId="0" fontId="0" fillId="9" borderId="1" xfId="0" applyFont="1" applyFill="1" applyBorder="1" applyAlignment="1">
      <alignment horizontal="center"/>
    </xf>
    <xf numFmtId="0" fontId="0" fillId="9" borderId="5" xfId="0" applyFont="1" applyFill="1" applyBorder="1" applyAlignment="1">
      <alignment horizontal="center"/>
    </xf>
    <xf numFmtId="0" fontId="0" fillId="0" borderId="1" xfId="0" applyFont="1" applyBorder="1" applyAlignment="1">
      <alignment horizontal="center"/>
    </xf>
    <xf numFmtId="0" fontId="0" fillId="0" borderId="5" xfId="0" applyFont="1" applyBorder="1" applyAlignment="1">
      <alignment horizontal="center"/>
    </xf>
    <xf numFmtId="0" fontId="0" fillId="8" borderId="10" xfId="0" applyFont="1" applyFill="1" applyBorder="1" applyAlignment="1">
      <alignment horizontal="center"/>
    </xf>
    <xf numFmtId="0" fontId="0" fillId="8" borderId="7" xfId="0" applyFont="1" applyFill="1" applyBorder="1" applyAlignment="1">
      <alignment horizontal="center"/>
    </xf>
    <xf numFmtId="0" fontId="0" fillId="0" borderId="22" xfId="0" applyFont="1" applyBorder="1"/>
    <xf numFmtId="0" fontId="0" fillId="0" borderId="23" xfId="0" applyFont="1" applyBorder="1"/>
    <xf numFmtId="165" fontId="0" fillId="0" borderId="23" xfId="0" applyNumberFormat="1" applyFont="1" applyBorder="1"/>
    <xf numFmtId="0" fontId="0" fillId="0" borderId="24" xfId="0" applyFont="1" applyBorder="1" applyAlignment="1">
      <alignment horizontal="left" vertical="top" wrapText="1"/>
    </xf>
    <xf numFmtId="0" fontId="13" fillId="0" borderId="0" xfId="12" applyFont="1"/>
    <xf numFmtId="0" fontId="0" fillId="0" borderId="0" xfId="0" applyFont="1" applyFill="1"/>
    <xf numFmtId="0" fontId="14" fillId="10" borderId="33" xfId="0" applyFont="1" applyFill="1" applyBorder="1"/>
    <xf numFmtId="165" fontId="0" fillId="0" borderId="0" xfId="0" applyNumberFormat="1" applyFont="1" applyAlignment="1">
      <alignment vertical="center" wrapText="1"/>
    </xf>
    <xf numFmtId="0" fontId="14" fillId="4" borderId="0" xfId="0" applyFont="1" applyFill="1" applyAlignment="1">
      <alignment horizontal="center" vertical="top" wrapText="1"/>
    </xf>
    <xf numFmtId="0" fontId="0" fillId="0" borderId="0" xfId="0" applyFont="1" applyAlignment="1">
      <alignment horizontal="left" vertical="center"/>
    </xf>
    <xf numFmtId="0" fontId="0" fillId="0" borderId="0" xfId="0" applyFont="1" applyAlignment="1">
      <alignment vertical="top"/>
    </xf>
    <xf numFmtId="0" fontId="0" fillId="0" borderId="0" xfId="0" applyFont="1" applyAlignment="1">
      <alignment horizontal="center" vertical="top"/>
    </xf>
    <xf numFmtId="0" fontId="0" fillId="0" borderId="0" xfId="0" applyFont="1" applyAlignment="1">
      <alignment horizontal="center" vertical="top" wrapText="1"/>
    </xf>
    <xf numFmtId="0" fontId="14" fillId="10" borderId="0" xfId="0" applyFont="1" applyFill="1" applyBorder="1" applyAlignment="1">
      <alignment horizontal="center" vertical="top" wrapText="1"/>
    </xf>
    <xf numFmtId="0" fontId="14" fillId="10" borderId="0" xfId="0" applyFont="1" applyFill="1" applyBorder="1" applyAlignment="1">
      <alignment horizontal="center"/>
    </xf>
    <xf numFmtId="0" fontId="16" fillId="8" borderId="0" xfId="0" applyFont="1" applyFill="1" applyBorder="1" applyAlignment="1">
      <alignment horizontal="center"/>
    </xf>
    <xf numFmtId="0" fontId="6" fillId="0" borderId="0" xfId="0" applyFont="1" applyFill="1" applyBorder="1" applyAlignment="1">
      <alignment horizontal="center" vertical="top" wrapText="1"/>
    </xf>
    <xf numFmtId="0" fontId="6" fillId="0" borderId="31" xfId="0" applyFont="1" applyFill="1" applyBorder="1" applyAlignment="1">
      <alignment horizontal="center" vertical="top" wrapText="1"/>
    </xf>
    <xf numFmtId="0" fontId="0" fillId="0" borderId="0" xfId="0" applyAlignment="1">
      <alignment horizontal="center"/>
    </xf>
    <xf numFmtId="0" fontId="5" fillId="10" borderId="0" xfId="0" applyFont="1" applyFill="1" applyBorder="1" applyAlignment="1">
      <alignment horizontal="right" vertical="top" wrapText="1"/>
    </xf>
    <xf numFmtId="1" fontId="5" fillId="10" borderId="0" xfId="0" applyNumberFormat="1" applyFont="1" applyFill="1" applyBorder="1" applyAlignment="1">
      <alignment horizontal="right" vertical="top" wrapText="1"/>
    </xf>
    <xf numFmtId="0" fontId="0" fillId="0" borderId="0" xfId="0" applyFont="1" applyFill="1" applyAlignment="1">
      <alignment horizontal="left" vertical="top" wrapText="1"/>
    </xf>
    <xf numFmtId="0" fontId="17" fillId="0" borderId="0" xfId="0" applyFont="1" applyFill="1" applyAlignment="1">
      <alignment horizontal="left" vertical="top" wrapText="1"/>
    </xf>
    <xf numFmtId="0" fontId="0" fillId="0" borderId="0" xfId="0" applyFont="1" applyFill="1" applyAlignment="1">
      <alignment vertical="top"/>
    </xf>
    <xf numFmtId="0" fontId="0" fillId="11" borderId="0" xfId="0" applyFont="1" applyFill="1" applyAlignment="1">
      <alignment horizontal="left" vertical="top" wrapText="1"/>
    </xf>
    <xf numFmtId="0" fontId="17" fillId="11" borderId="0" xfId="0" applyFont="1" applyFill="1" applyAlignment="1">
      <alignment horizontal="left" vertical="top" wrapText="1"/>
    </xf>
    <xf numFmtId="0" fontId="0" fillId="12" borderId="0" xfId="0" applyFont="1" applyFill="1" applyAlignment="1">
      <alignment horizontal="left" vertical="top" wrapText="1"/>
    </xf>
    <xf numFmtId="0" fontId="0" fillId="8" borderId="13" xfId="0" applyFont="1" applyFill="1" applyBorder="1" applyAlignment="1">
      <alignment horizontal="left"/>
    </xf>
    <xf numFmtId="0" fontId="0" fillId="8" borderId="14" xfId="0" applyFont="1" applyFill="1" applyBorder="1" applyAlignment="1">
      <alignment horizontal="left"/>
    </xf>
    <xf numFmtId="0" fontId="0" fillId="8" borderId="8" xfId="0" applyFont="1" applyFill="1" applyBorder="1" applyAlignment="1">
      <alignment horizontal="center"/>
    </xf>
    <xf numFmtId="0" fontId="0" fillId="8" borderId="15" xfId="0" applyFont="1" applyFill="1" applyBorder="1" applyAlignment="1">
      <alignment horizontal="center"/>
    </xf>
    <xf numFmtId="0" fontId="0" fillId="9" borderId="4" xfId="0" applyFont="1" applyFill="1" applyBorder="1" applyAlignment="1">
      <alignment horizontal="left"/>
    </xf>
    <xf numFmtId="0" fontId="0" fillId="9" borderId="1" xfId="0" applyFont="1" applyFill="1" applyBorder="1" applyAlignment="1">
      <alignment horizontal="left"/>
    </xf>
    <xf numFmtId="0" fontId="0" fillId="8" borderId="2" xfId="0" applyFont="1" applyFill="1" applyBorder="1" applyAlignment="1">
      <alignment horizontal="center"/>
    </xf>
    <xf numFmtId="0" fontId="0" fillId="8" borderId="9" xfId="0" applyFont="1" applyFill="1" applyBorder="1" applyAlignment="1">
      <alignment horizontal="center"/>
    </xf>
    <xf numFmtId="0" fontId="0" fillId="8" borderId="3" xfId="0" applyFont="1" applyFill="1" applyBorder="1" applyAlignment="1">
      <alignment horizontal="center"/>
    </xf>
    <xf numFmtId="0" fontId="0" fillId="0" borderId="1" xfId="0" applyFont="1" applyBorder="1" applyAlignment="1">
      <alignment horizontal="center"/>
    </xf>
    <xf numFmtId="0" fontId="0" fillId="0" borderId="5" xfId="0" applyFont="1" applyBorder="1" applyAlignment="1">
      <alignment horizontal="center"/>
    </xf>
    <xf numFmtId="0" fontId="0" fillId="0" borderId="16" xfId="0" applyFont="1" applyBorder="1" applyAlignment="1">
      <alignment horizontal="center"/>
    </xf>
    <xf numFmtId="0" fontId="0" fillId="0" borderId="17" xfId="0" applyFont="1" applyBorder="1" applyAlignment="1">
      <alignment horizontal="center"/>
    </xf>
    <xf numFmtId="0" fontId="0" fillId="0" borderId="18" xfId="0" applyFont="1" applyBorder="1" applyAlignment="1">
      <alignment horizontal="center"/>
    </xf>
    <xf numFmtId="0" fontId="0" fillId="0" borderId="10" xfId="0" applyFont="1" applyBorder="1" applyAlignment="1">
      <alignment horizontal="center"/>
    </xf>
    <xf numFmtId="0" fontId="0" fillId="0" borderId="7" xfId="0" applyFont="1" applyBorder="1" applyAlignment="1">
      <alignment horizontal="center"/>
    </xf>
    <xf numFmtId="0" fontId="0" fillId="9" borderId="11" xfId="0" applyFont="1" applyFill="1" applyBorder="1" applyAlignment="1">
      <alignment horizontal="left"/>
    </xf>
    <xf numFmtId="0" fontId="0" fillId="9" borderId="12" xfId="0" applyFont="1" applyFill="1" applyBorder="1" applyAlignment="1">
      <alignment horizontal="left"/>
    </xf>
    <xf numFmtId="0" fontId="11" fillId="8" borderId="25" xfId="0" applyFont="1" applyFill="1" applyBorder="1" applyAlignment="1">
      <alignment horizontal="center"/>
    </xf>
    <xf numFmtId="0" fontId="11" fillId="8" borderId="26" xfId="0" applyFont="1" applyFill="1" applyBorder="1" applyAlignment="1">
      <alignment horizontal="center"/>
    </xf>
    <xf numFmtId="0" fontId="11" fillId="8" borderId="26" xfId="0" applyFont="1" applyFill="1" applyBorder="1" applyAlignment="1"/>
    <xf numFmtId="0" fontId="11" fillId="8" borderId="27" xfId="0" applyFont="1" applyFill="1" applyBorder="1" applyAlignment="1"/>
    <xf numFmtId="0" fontId="14" fillId="4" borderId="0" xfId="0" applyFont="1" applyFill="1" applyAlignment="1">
      <alignment horizontal="center" vertical="top" wrapText="1"/>
    </xf>
    <xf numFmtId="0" fontId="14" fillId="0" borderId="0" xfId="0" applyFont="1" applyFill="1" applyAlignment="1">
      <alignment horizontal="center" vertical="top" wrapText="1"/>
    </xf>
    <xf numFmtId="0" fontId="0" fillId="2" borderId="0" xfId="0" applyFont="1" applyFill="1" applyBorder="1" applyAlignment="1">
      <alignment horizontal="center" vertical="center"/>
    </xf>
    <xf numFmtId="0" fontId="0" fillId="6" borderId="0" xfId="0" applyFont="1" applyFill="1" applyBorder="1" applyAlignment="1">
      <alignment horizontal="center" vertical="center"/>
    </xf>
    <xf numFmtId="0" fontId="0" fillId="0" borderId="0" xfId="0" applyFont="1" applyAlignment="1">
      <alignment vertical="top" wrapText="1"/>
    </xf>
  </cellXfs>
  <cellStyles count="14">
    <cellStyle name="Currency" xfId="7" builtinId="4"/>
    <cellStyle name="Currency 2" xfId="13" xr:uid="{00000000-0005-0000-0000-000001000000}"/>
    <cellStyle name="Hyperlink" xfId="12" builtinId="8"/>
    <cellStyle name="Hyperlink 2" xfId="4" xr:uid="{00000000-0005-0000-0000-000003000000}"/>
    <cellStyle name="Normal" xfId="0" builtinId="0"/>
    <cellStyle name="Normal 2" xfId="1" xr:uid="{00000000-0005-0000-0000-000005000000}"/>
    <cellStyle name="Normal 3" xfId="2" xr:uid="{00000000-0005-0000-0000-000006000000}"/>
    <cellStyle name="Normal 4" xfId="3" xr:uid="{00000000-0005-0000-0000-000007000000}"/>
    <cellStyle name="Normal 5" xfId="9" xr:uid="{00000000-0005-0000-0000-000008000000}"/>
    <cellStyle name="Normal 6" xfId="5" xr:uid="{00000000-0005-0000-0000-000009000000}"/>
    <cellStyle name="Normal 7" xfId="6" xr:uid="{00000000-0005-0000-0000-00000A000000}"/>
    <cellStyle name="Normal 8" xfId="8" xr:uid="{00000000-0005-0000-0000-00000B000000}"/>
    <cellStyle name="Normal 8 2" xfId="11" xr:uid="{00000000-0005-0000-0000-00000C000000}"/>
    <cellStyle name="Percent" xfId="10" builtinId="5"/>
  </cellStyles>
  <dxfs count="90">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1" indent="1"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1" indent="1" justifyLastLine="0" shrinkToFit="0" readingOrder="0"/>
    </dxf>
    <dxf>
      <border outline="0">
        <bottom style="thick">
          <color theme="0"/>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none">
          <fgColor indexed="64"/>
          <bgColor indexed="65"/>
        </patternFill>
      </fill>
    </dxf>
    <dxf>
      <fill>
        <patternFill patternType="none">
          <bgColor auto="1"/>
        </patternFill>
      </fill>
      <alignment horizontal="left" vertical="top" textRotation="0" wrapText="1" indent="0" justifyLastLine="0" shrinkToFit="0" readingOrder="0"/>
    </dxf>
    <dxf>
      <fill>
        <patternFill patternType="none">
          <bgColor auto="1"/>
        </patternFill>
      </fill>
      <alignment horizontal="left" vertical="top" textRotation="0" wrapText="1" indent="0" justifyLastLine="0" shrinkToFit="0" readingOrder="0"/>
    </dxf>
    <dxf>
      <alignment horizontal="left" vertical="top" textRotation="0" indent="0" justifyLastLine="0" shrinkToFit="0" readingOrder="0"/>
    </dxf>
    <dxf>
      <font>
        <strike val="0"/>
        <outline val="0"/>
        <shadow val="0"/>
        <u val="none"/>
        <vertAlign val="baseline"/>
        <sz val="11"/>
        <color theme="1"/>
        <name val="Calibri"/>
        <family val="2"/>
        <scheme val="minor"/>
      </font>
      <alignment vertical="center" textRotation="0" wrapText="1" indent="0" justifyLastLine="0" shrinkToFit="0" readingOrder="0"/>
    </dxf>
    <dxf>
      <font>
        <strike val="0"/>
        <outline val="0"/>
        <shadow val="0"/>
        <u val="none"/>
        <vertAlign val="baseline"/>
        <sz val="11"/>
        <color theme="1"/>
        <name val="Calibri"/>
        <family val="2"/>
        <scheme val="minor"/>
      </font>
      <alignment vertical="center" textRotation="0" indent="0" justifyLastLine="0" shrinkToFit="0" readingOrder="0"/>
    </dxf>
    <dxf>
      <font>
        <strike val="0"/>
        <outline val="0"/>
        <shadow val="0"/>
        <u val="none"/>
        <vertAlign val="baseline"/>
        <sz val="11"/>
        <color theme="1"/>
        <name val="Calibri"/>
        <family val="2"/>
        <scheme val="minor"/>
      </font>
      <alignment vertical="center" textRotation="0" indent="0" justifyLastLine="0" shrinkToFit="0" readingOrder="0"/>
    </dxf>
    <dxf>
      <font>
        <strike val="0"/>
        <outline val="0"/>
        <shadow val="0"/>
        <u val="none"/>
        <vertAlign val="baseline"/>
        <sz val="11"/>
        <color theme="1"/>
        <name val="Calibri"/>
        <family val="2"/>
        <scheme val="minor"/>
      </font>
      <alignment vertical="center" textRotation="0" wrapText="1" indent="0" justifyLastLine="0" shrinkToFit="0" readingOrder="0"/>
    </dxf>
    <dxf>
      <font>
        <strike val="0"/>
        <outline val="0"/>
        <shadow val="0"/>
        <u val="none"/>
        <vertAlign val="baseline"/>
        <sz val="11"/>
        <color theme="1"/>
        <name val="Calibri"/>
        <family val="2"/>
        <scheme val="minor"/>
      </font>
      <alignment vertical="center" textRotation="0" indent="0" justifyLastLine="0" shrinkToFit="0" readingOrder="0"/>
    </dxf>
    <dxf>
      <font>
        <strike val="0"/>
        <outline val="0"/>
        <shadow val="0"/>
        <u val="none"/>
        <vertAlign val="baseline"/>
        <sz val="11"/>
        <color theme="1"/>
        <name val="Calibri"/>
        <family val="2"/>
        <scheme val="minor"/>
      </font>
      <alignment vertical="center" textRotation="0" wrapText="1" indent="0" justifyLastLine="0" shrinkToFit="0" readingOrder="0"/>
    </dxf>
    <dxf>
      <font>
        <strike val="0"/>
        <outline val="0"/>
        <shadow val="0"/>
        <u val="none"/>
        <vertAlign val="baseline"/>
        <sz val="11"/>
        <color theme="1"/>
        <name val="Calibri"/>
        <family val="2"/>
        <scheme val="minor"/>
      </font>
      <alignment vertical="center" textRotation="0" wrapText="1" indent="0" justifyLastLine="0" shrinkToFit="0" readingOrder="0"/>
    </dxf>
    <dxf>
      <font>
        <strike val="0"/>
        <outline val="0"/>
        <shadow val="0"/>
        <u val="none"/>
        <vertAlign val="baseline"/>
        <sz val="11"/>
        <color theme="1"/>
        <name val="Calibri"/>
        <family val="2"/>
        <scheme val="minor"/>
      </font>
      <numFmt numFmtId="165" formatCode="yyyy/mm/dd"/>
      <alignment vertical="center" textRotation="0" wrapText="1" indent="0" justifyLastLine="0" shrinkToFit="0" readingOrder="0"/>
    </dxf>
    <dxf>
      <font>
        <strike val="0"/>
        <outline val="0"/>
        <shadow val="0"/>
        <u val="none"/>
        <vertAlign val="baseline"/>
        <sz val="11"/>
        <color theme="1"/>
        <name val="Calibri"/>
        <family val="2"/>
        <scheme val="minor"/>
      </font>
      <alignment vertical="center" textRotation="0" indent="0" justifyLastLine="0" shrinkToFit="0" readingOrder="0"/>
    </dxf>
    <dxf>
      <font>
        <strike val="0"/>
        <outline val="0"/>
        <shadow val="0"/>
        <u val="none"/>
        <vertAlign val="baseline"/>
        <sz val="11"/>
        <color theme="1"/>
        <name val="Calibri"/>
        <family val="2"/>
        <scheme val="minor"/>
      </font>
      <alignment horizontal="left" vertical="center" textRotation="0" wrapText="0" indent="0" justifyLastLine="0" shrinkToFit="0" readingOrder="0"/>
    </dxf>
    <dxf>
      <font>
        <strike val="0"/>
        <outline val="0"/>
        <shadow val="0"/>
        <u val="none"/>
        <vertAlign val="baseline"/>
        <sz val="11"/>
        <color theme="1"/>
        <name val="Calibri"/>
        <family val="2"/>
        <scheme val="minor"/>
      </font>
      <alignment vertical="center" textRotation="0" indent="0" justifyLastLine="0" shrinkToFit="0" readingOrder="0"/>
    </dxf>
    <dxf>
      <font>
        <strike val="0"/>
        <outline val="0"/>
        <shadow val="0"/>
        <u val="none"/>
        <vertAlign val="baseline"/>
        <sz val="11"/>
        <color theme="1"/>
        <name val="Calibri"/>
        <family val="2"/>
        <scheme val="minor"/>
      </font>
      <alignment vertical="center" textRotation="0" indent="0" justifyLastLine="0" shrinkToFit="0" readingOrder="0"/>
    </dxf>
    <dxf>
      <font>
        <strike val="0"/>
        <outline val="0"/>
        <shadow val="0"/>
        <u val="none"/>
        <vertAlign val="baseline"/>
        <sz val="11"/>
        <color theme="1"/>
        <name val="Calibri"/>
        <family val="2"/>
        <scheme val="minor"/>
      </font>
      <alignment vertical="center" textRotation="0" indent="0" justifyLastLine="0" shrinkToFit="0" readingOrder="0"/>
    </dxf>
    <dxf>
      <font>
        <strike val="0"/>
        <outline val="0"/>
        <shadow val="0"/>
        <u val="none"/>
        <vertAlign val="baseline"/>
        <sz val="11"/>
        <color theme="1"/>
        <name val="Calibri"/>
        <family val="2"/>
        <scheme val="minor"/>
      </font>
      <alignment vertical="center" textRotation="0" indent="0" justifyLastLine="0" shrinkToFit="0" readingOrder="0"/>
    </dxf>
    <dxf>
      <font>
        <strike val="0"/>
        <outline val="0"/>
        <shadow val="0"/>
        <u val="none"/>
        <vertAlign val="baseline"/>
        <sz val="11"/>
        <color theme="1"/>
        <name val="Calibri"/>
        <family val="2"/>
        <scheme val="minor"/>
      </font>
      <fill>
        <patternFill patternType="solid">
          <fgColor indexed="64"/>
          <bgColor theme="3" tint="0.59999389629810485"/>
        </patternFill>
      </fill>
      <alignment vertical="center"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1" indent="0" justifyLastLine="0" shrinkToFit="0" readingOrder="0"/>
    </dxf>
    <dxf>
      <font>
        <strike val="0"/>
        <outline val="0"/>
        <shadow val="0"/>
        <u val="none"/>
        <vertAlign val="baseline"/>
        <sz val="11"/>
        <name val="Calibri"/>
        <family val="2"/>
        <scheme val="minor"/>
      </font>
      <alignment horizontal="center"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1"/>
        <name val="Calibri"/>
        <family val="2"/>
        <scheme val="minor"/>
      </font>
      <alignment horizontal="general" vertical="top" textRotation="0" wrapText="0" indent="0" justifyLastLine="0" shrinkToFit="0" readingOrder="0"/>
    </dxf>
    <dxf>
      <font>
        <strike val="0"/>
        <outline val="0"/>
        <shadow val="0"/>
        <u val="none"/>
        <vertAlign val="baseline"/>
        <sz val="11"/>
        <name val="Calibri"/>
        <family val="2"/>
        <scheme val="minor"/>
      </font>
      <alignment horizontal="left" vertical="top" textRotation="0" wrapText="1" indent="0" justifyLastLine="0" shrinkToFit="0" readingOrder="0"/>
    </dxf>
    <dxf>
      <font>
        <strike val="0"/>
        <outline val="0"/>
        <shadow val="0"/>
        <u val="none"/>
        <vertAlign val="baseline"/>
        <sz val="11"/>
        <name val="Calibri"/>
        <family val="2"/>
        <scheme val="minor"/>
      </font>
      <alignment horizontal="left" vertical="top" textRotation="0" wrapText="1" indent="0" justifyLastLine="0" shrinkToFit="0" readingOrder="0"/>
    </dxf>
    <dxf>
      <font>
        <strike val="0"/>
        <outline val="0"/>
        <shadow val="0"/>
        <u val="none"/>
        <vertAlign val="baseline"/>
        <sz val="11"/>
        <name val="Calibri"/>
        <family val="2"/>
        <scheme val="minor"/>
      </font>
      <alignment horizontal="left" vertical="top" textRotation="0" wrapText="1" indent="0" justifyLastLine="0" shrinkToFit="0" readingOrder="0"/>
    </dxf>
    <dxf>
      <font>
        <strike val="0"/>
        <outline val="0"/>
        <shadow val="0"/>
        <u val="none"/>
        <vertAlign val="baseline"/>
        <sz val="11"/>
        <name val="Calibri"/>
        <family val="2"/>
        <scheme val="minor"/>
      </font>
      <alignment horizontal="left" vertical="top" textRotation="0" wrapText="1" indent="0" justifyLastLine="0" shrinkToFit="0" readingOrder="0"/>
    </dxf>
    <dxf>
      <font>
        <strike val="0"/>
        <outline val="0"/>
        <shadow val="0"/>
        <u val="none"/>
        <vertAlign val="baseline"/>
        <sz val="11"/>
        <name val="Calibri"/>
        <family val="2"/>
        <scheme val="minor"/>
      </font>
      <alignment vertical="top" textRotation="0" indent="0" justifyLastLine="0" shrinkToFit="0" readingOrder="0"/>
    </dxf>
    <dxf>
      <font>
        <strike val="0"/>
        <outline val="0"/>
        <shadow val="0"/>
        <u val="none"/>
        <vertAlign val="baseline"/>
        <sz val="11"/>
        <name val="Calibri"/>
        <family val="2"/>
        <scheme val="minor"/>
      </font>
      <alignment vertical="top" textRotation="0" indent="0" justifyLastLine="0" shrinkToFit="0" readingOrder="0"/>
    </dxf>
    <dxf>
      <fill>
        <patternFill>
          <bgColor rgb="FFC00000"/>
        </patternFill>
      </fill>
    </dxf>
    <dxf>
      <fill>
        <patternFill>
          <bgColor rgb="FF92D050"/>
        </patternFill>
      </fill>
    </dxf>
    <dxf>
      <font>
        <b val="0"/>
        <i val="0"/>
        <strike val="0"/>
        <condense val="0"/>
        <extend val="0"/>
        <outline val="0"/>
        <shadow val="0"/>
        <u val="none"/>
        <vertAlign val="baseline"/>
        <sz val="11"/>
        <color theme="1"/>
        <name val="Calibri"/>
        <scheme val="minor"/>
      </font>
      <numFmt numFmtId="13" formatCode="0%"/>
    </dxf>
    <dxf>
      <numFmt numFmtId="1" formatCode="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1" indent="0" justifyLastLine="0" shrinkToFit="0" readingOrder="0"/>
    </dxf>
    <dxf>
      <border outline="0">
        <left style="medium">
          <color theme="1"/>
        </left>
        <right style="medium">
          <color theme="1"/>
        </right>
        <top style="thin">
          <color theme="0"/>
        </top>
      </border>
    </dxf>
    <dxf>
      <font>
        <strike val="0"/>
        <outline val="0"/>
        <shadow val="0"/>
        <u val="none"/>
        <vertAlign val="baseline"/>
        <sz val="11"/>
        <name val="Calibri"/>
        <family val="2"/>
        <scheme val="minor"/>
      </font>
      <alignment horizontal="left" vertical="top" textRotation="0" wrapText="1"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outline="0">
        <left style="thin">
          <color indexed="64"/>
        </left>
        <right style="thin">
          <color indexed="64"/>
        </right>
        <top style="thin">
          <color indexed="64"/>
        </top>
        <bottom/>
      </border>
    </dxf>
    <dxf>
      <font>
        <strike val="0"/>
        <outline val="0"/>
        <shadow val="0"/>
        <u val="none"/>
        <vertAlign val="baseline"/>
        <sz val="11"/>
        <name val="Calibri"/>
        <family val="2"/>
        <scheme val="minor"/>
      </font>
      <numFmt numFmtId="165" formatCode="yyyy/mm/dd"/>
      <border diagonalUp="0" diagonalDown="0" outline="0">
        <left style="thin">
          <color indexed="64"/>
        </left>
        <right style="thin">
          <color indexed="64"/>
        </right>
        <top style="thin">
          <color indexed="64"/>
        </top>
        <bottom/>
      </border>
    </dxf>
    <dxf>
      <font>
        <strike val="0"/>
        <outline val="0"/>
        <shadow val="0"/>
        <u val="none"/>
        <vertAlign val="baseline"/>
        <sz val="11"/>
        <name val="Calibri"/>
        <family val="2"/>
        <scheme val="minor"/>
      </font>
      <border diagonalUp="0" diagonalDown="0" outline="0">
        <left style="thin">
          <color indexed="64"/>
        </left>
        <right style="thin">
          <color indexed="64"/>
        </right>
        <top style="thin">
          <color indexed="64"/>
        </top>
        <bottom/>
      </border>
    </dxf>
    <dxf>
      <font>
        <strike val="0"/>
        <outline val="0"/>
        <shadow val="0"/>
        <u val="none"/>
        <vertAlign val="baseline"/>
        <sz val="11"/>
        <name val="Calibri"/>
        <family val="2"/>
        <scheme val="minor"/>
      </font>
      <border diagonalUp="0" diagonalDown="0" outline="0">
        <left/>
        <right style="thin">
          <color indexed="64"/>
        </right>
        <top style="thin">
          <color indexed="64"/>
        </top>
        <bottom/>
      </border>
    </dxf>
    <dxf>
      <border outline="0">
        <top style="thin">
          <color rgb="FF000000"/>
        </top>
      </border>
    </dxf>
    <dxf>
      <border outline="0">
        <left style="medium">
          <color rgb="FF000000"/>
        </left>
        <right style="medium">
          <color rgb="FF000000"/>
        </right>
        <top style="thin">
          <color rgb="FF000000"/>
        </top>
        <bottom style="thin">
          <color rgb="FF000000"/>
        </bottom>
      </border>
    </dxf>
    <dxf>
      <font>
        <strike val="0"/>
        <outline val="0"/>
        <shadow val="0"/>
        <u val="none"/>
        <vertAlign val="baseline"/>
        <sz val="11"/>
        <name val="Calibri"/>
        <family val="2"/>
        <scheme val="minor"/>
      </font>
    </dxf>
    <dxf>
      <border outline="0">
        <bottom style="thin">
          <color rgb="FF000000"/>
        </bottom>
      </border>
    </dxf>
    <dxf>
      <font>
        <b val="0"/>
        <strike val="0"/>
        <outline val="0"/>
        <shadow val="0"/>
        <u val="none"/>
        <vertAlign val="baseline"/>
        <sz val="11"/>
        <color auto="1"/>
        <name val="Calibri"/>
        <family val="2"/>
        <scheme val="minor"/>
      </font>
      <fill>
        <patternFill patternType="solid">
          <fgColor indexed="64"/>
          <bgColor rgb="FFB8CCE4"/>
        </patternFill>
      </fill>
    </dxf>
    <dxf>
      <fill>
        <patternFill>
          <bgColor rgb="FFC00000"/>
        </patternFill>
      </fill>
    </dxf>
    <dxf>
      <fill>
        <patternFill>
          <bgColor rgb="FFFFE48F"/>
        </patternFill>
      </fill>
    </dxf>
    <dxf>
      <fill>
        <patternFill>
          <bgColor rgb="FF92D050"/>
        </patternFill>
      </fill>
    </dxf>
    <dxf>
      <border>
        <left style="medium">
          <color auto="1"/>
        </left>
        <right style="medium">
          <color auto="1"/>
        </right>
        <top style="medium">
          <color auto="1"/>
        </top>
        <bottom style="medium">
          <color auto="1"/>
        </bottom>
      </border>
    </dxf>
    <dxf>
      <fill>
        <patternFill patternType="solid">
          <fgColor theme="4" tint="0.79995117038483843"/>
          <bgColor theme="3" tint="0.39994506668294322"/>
        </patternFill>
      </fill>
      <border>
        <bottom style="thin">
          <color theme="4" tint="0.39997558519241921"/>
        </bottom>
      </border>
    </dxf>
    <dxf>
      <fill>
        <patternFill patternType="solid">
          <fgColor theme="4" tint="0.79995117038483843"/>
          <bgColor theme="3" tint="0.39994506668294322"/>
        </patternFill>
      </fill>
      <border>
        <bottom style="thin">
          <color theme="4" tint="0.39997558519241921"/>
        </bottom>
      </border>
    </dxf>
    <dxf>
      <font>
        <b/>
        <color theme="1"/>
      </font>
    </dxf>
    <dxf>
      <font>
        <b/>
        <color theme="1"/>
      </font>
      <fill>
        <patternFill>
          <bgColor theme="3" tint="0.59996337778862885"/>
        </patternFill>
      </fill>
      <border>
        <bottom style="thin">
          <color theme="4" tint="0.39997558519241921"/>
        </bottom>
      </border>
    </dxf>
    <dxf>
      <fill>
        <patternFill>
          <bgColor theme="3" tint="0.39994506668294322"/>
        </patternFill>
      </fill>
    </dxf>
    <dxf>
      <font>
        <b/>
        <color theme="1"/>
      </font>
    </dxf>
    <dxf>
      <font>
        <b/>
        <color theme="1"/>
      </font>
      <border>
        <top style="thin">
          <color theme="4"/>
        </top>
        <bottom style="thin">
          <color theme="4"/>
        </bottom>
      </border>
    </dxf>
    <dxf>
      <fill>
        <patternFill patternType="solid">
          <fgColor theme="0" tint="-0.14996795556505021"/>
          <bgColor theme="3" tint="0.39994506668294322"/>
        </patternFill>
      </fill>
    </dxf>
    <dxf>
      <fill>
        <patternFill>
          <bgColor theme="3" tint="0.39994506668294322"/>
        </patternFill>
      </fill>
    </dxf>
    <dxf>
      <fill>
        <patternFill patternType="solid">
          <fgColor theme="0" tint="-0.14996795556505021"/>
          <bgColor theme="3" tint="0.59996337778862885"/>
        </patternFill>
      </fill>
      <border>
        <left style="thin">
          <color theme="0" tint="-0.249977111117893"/>
        </left>
        <right style="thin">
          <color theme="0" tint="-0.249977111117893"/>
        </right>
      </border>
    </dxf>
    <dxf>
      <fill>
        <patternFill>
          <bgColor theme="3" tint="0.39994506668294322"/>
        </patternFill>
      </fill>
    </dxf>
    <dxf>
      <fill>
        <patternFill patternType="solid">
          <fgColor theme="0" tint="-0.14999847407452621"/>
          <bgColor theme="0" tint="-0.14999847407452621"/>
        </patternFill>
      </fill>
    </dxf>
    <dxf>
      <font>
        <b/>
        <color theme="1"/>
      </font>
      <fill>
        <patternFill patternType="solid">
          <fgColor theme="4" tint="0.79995117038483843"/>
          <bgColor theme="3" tint="0.39994506668294322"/>
        </patternFill>
      </fill>
      <border>
        <top style="thin">
          <color theme="4" tint="0.39997558519241921"/>
        </top>
      </border>
    </dxf>
    <dxf>
      <font>
        <b/>
        <color theme="1"/>
      </font>
      <fill>
        <patternFill patternType="solid">
          <fgColor theme="4" tint="0.79995117038483843"/>
          <bgColor theme="3" tint="0.39994506668294322"/>
        </patternFill>
      </fill>
      <border>
        <bottom style="thin">
          <color theme="4" tint="0.39997558519241921"/>
        </bottom>
      </border>
    </dxf>
  </dxfs>
  <tableStyles count="2" defaultTableStyle="TableStyleMedium2" defaultPivotStyle="PivotStyleLight16">
    <tableStyle name="CheckList Summary" table="0" count="14" xr9:uid="{00000000-0011-0000-FFFF-FFFF00000000}">
      <tableStyleElement type="headerRow" dxfId="89"/>
      <tableStyleElement type="totalRow" dxfId="88"/>
      <tableStyleElement type="firstRowStripe" dxfId="87"/>
      <tableStyleElement type="secondRowStripe" dxfId="86"/>
      <tableStyleElement type="firstColumnStripe" dxfId="85"/>
      <tableStyleElement type="firstHeaderCell" dxfId="84"/>
      <tableStyleElement type="firstSubtotalColumn" dxfId="83"/>
      <tableStyleElement type="firstSubtotalRow" dxfId="82"/>
      <tableStyleElement type="secondSubtotalRow" dxfId="81"/>
      <tableStyleElement type="firstColumnSubheading" dxfId="80"/>
      <tableStyleElement type="firstRowSubheading" dxfId="79"/>
      <tableStyleElement type="secondRowSubheading" dxfId="78"/>
      <tableStyleElement type="pageFieldLabels" dxfId="77"/>
      <tableStyleElement type="pageFieldValues" dxfId="76"/>
    </tableStyle>
    <tableStyle name="Table Style 1" pivot="0" count="1" xr9:uid="{00000000-0011-0000-FFFF-FFFF01000000}">
      <tableStyleElement type="wholeTable" dxfId="75"/>
    </tableStyle>
  </tableStyles>
  <colors>
    <mruColors>
      <color rgb="FFDCE6F1"/>
      <color rgb="FF4F81BD"/>
      <color rgb="FFB8CCE4"/>
      <color rgb="FFFFE48F"/>
      <color rgb="FFFFDC6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76200</xdr:colOff>
      <xdr:row>69</xdr:row>
      <xdr:rowOff>66675</xdr:rowOff>
    </xdr:from>
    <xdr:to>
      <xdr:col>1</xdr:col>
      <xdr:colOff>55597</xdr:colOff>
      <xdr:row>71</xdr:row>
      <xdr:rowOff>190437</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stretch>
          <a:fillRect/>
        </a:stretch>
      </xdr:blipFill>
      <xdr:spPr>
        <a:xfrm>
          <a:off x="76200" y="13401675"/>
          <a:ext cx="12419047" cy="504762"/>
        </a:xfrm>
        <a:prstGeom prst="rect">
          <a:avLst/>
        </a:prstGeom>
      </xdr:spPr>
    </xdr:pic>
    <xdr:clientData/>
  </xdr:twoCellAnchor>
  <xdr:twoCellAnchor editAs="oneCell">
    <xdr:from>
      <xdr:col>0</xdr:col>
      <xdr:colOff>3169920</xdr:colOff>
      <xdr:row>45</xdr:row>
      <xdr:rowOff>17667</xdr:rowOff>
    </xdr:from>
    <xdr:to>
      <xdr:col>0</xdr:col>
      <xdr:colOff>8526780</xdr:colOff>
      <xdr:row>63</xdr:row>
      <xdr:rowOff>82403</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stretch>
          <a:fillRect/>
        </a:stretch>
      </xdr:blipFill>
      <xdr:spPr>
        <a:xfrm>
          <a:off x="3169920" y="4498227"/>
          <a:ext cx="5356860" cy="3356576"/>
        </a:xfrm>
        <a:prstGeom prst="rect">
          <a:avLst/>
        </a:prstGeom>
      </xdr:spPr>
    </xdr:pic>
    <xdr:clientData/>
  </xdr:twoCellAnchor>
  <xdr:twoCellAnchor>
    <xdr:from>
      <xdr:col>0</xdr:col>
      <xdr:colOff>15240</xdr:colOff>
      <xdr:row>4</xdr:row>
      <xdr:rowOff>76200</xdr:rowOff>
    </xdr:from>
    <xdr:to>
      <xdr:col>0</xdr:col>
      <xdr:colOff>3268980</xdr:colOff>
      <xdr:row>10</xdr:row>
      <xdr:rowOff>76200</xdr:rowOff>
    </xdr:to>
    <xdr:sp macro="" textlink="">
      <xdr:nvSpPr>
        <xdr:cNvPr id="4" name="Line Callout 1 3">
          <a:extLst>
            <a:ext uri="{FF2B5EF4-FFF2-40B4-BE49-F238E27FC236}">
              <a16:creationId xmlns:a16="http://schemas.microsoft.com/office/drawing/2014/main" id="{00000000-0008-0000-0000-000004000000}"/>
            </a:ext>
          </a:extLst>
        </xdr:cNvPr>
        <xdr:cNvSpPr/>
      </xdr:nvSpPr>
      <xdr:spPr>
        <a:xfrm flipH="1">
          <a:off x="15240" y="853440"/>
          <a:ext cx="3253740" cy="1097280"/>
        </a:xfrm>
        <a:prstGeom prst="borderCallout1">
          <a:avLst>
            <a:gd name="adj1" fmla="val 18750"/>
            <a:gd name="adj2" fmla="val -8333"/>
            <a:gd name="adj3" fmla="val 10984"/>
            <a:gd name="adj4" fmla="val -22170"/>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900" b="1" u="sng"/>
            <a:t>Information of the function associated to the PES:</a:t>
          </a:r>
        </a:p>
        <a:p>
          <a:pPr algn="l"/>
          <a:r>
            <a:rPr lang="en-US" sz="900"/>
            <a:t>- Brand associated to the function</a:t>
          </a:r>
        </a:p>
        <a:p>
          <a:pPr algn="l"/>
          <a:r>
            <a:rPr lang="en-US" sz="900"/>
            <a:t>-</a:t>
          </a:r>
          <a:r>
            <a:rPr lang="en-US" sz="900" baseline="0"/>
            <a:t> PES Template Version</a:t>
          </a:r>
          <a:endParaRPr lang="en-US" sz="900"/>
        </a:p>
        <a:p>
          <a:pPr algn="l"/>
          <a:r>
            <a:rPr lang="en-US" sz="900"/>
            <a:t>- Function</a:t>
          </a:r>
          <a:r>
            <a:rPr lang="en-US" sz="900" baseline="0"/>
            <a:t> ID with a link to the function</a:t>
          </a:r>
        </a:p>
        <a:p>
          <a:pPr algn="l"/>
          <a:r>
            <a:rPr lang="en-US" sz="900" baseline="0"/>
            <a:t>- Function Name</a:t>
          </a:r>
        </a:p>
        <a:p>
          <a:pPr algn="l"/>
          <a:r>
            <a:rPr lang="fr-FR" sz="900">
              <a:solidFill>
                <a:srgbClr val="FF0000"/>
              </a:solidFill>
            </a:rPr>
            <a:t>⚠️</a:t>
          </a:r>
          <a:r>
            <a:rPr lang="en-US" sz="900">
              <a:solidFill>
                <a:srgbClr val="FF0000"/>
              </a:solidFill>
            </a:rPr>
            <a:t> The </a:t>
          </a:r>
          <a:r>
            <a:rPr lang="en-US" sz="900" baseline="0">
              <a:solidFill>
                <a:srgbClr val="FF0000"/>
              </a:solidFill>
              <a:latin typeface="+mn-lt"/>
              <a:ea typeface="+mn-ea"/>
              <a:cs typeface="+mn-cs"/>
            </a:rPr>
            <a:t>selected brand </a:t>
          </a:r>
          <a:r>
            <a:rPr lang="en-US" sz="900" baseline="0">
              <a:solidFill>
                <a:srgbClr val="FF0000"/>
              </a:solidFill>
            </a:rPr>
            <a:t>and the PES Template version will be used to filter the Checklist (checklist tab) and the checklist progress</a:t>
          </a:r>
          <a:endParaRPr lang="en-US" sz="900">
            <a:solidFill>
              <a:srgbClr val="FF0000"/>
            </a:solidFill>
          </a:endParaRPr>
        </a:p>
        <a:p>
          <a:pPr algn="l"/>
          <a:endParaRPr lang="en-US" sz="900"/>
        </a:p>
      </xdr:txBody>
    </xdr:sp>
    <xdr:clientData/>
  </xdr:twoCellAnchor>
  <xdr:twoCellAnchor>
    <xdr:from>
      <xdr:col>0</xdr:col>
      <xdr:colOff>0</xdr:colOff>
      <xdr:row>13</xdr:row>
      <xdr:rowOff>129540</xdr:rowOff>
    </xdr:from>
    <xdr:to>
      <xdr:col>0</xdr:col>
      <xdr:colOff>3261360</xdr:colOff>
      <xdr:row>19</xdr:row>
      <xdr:rowOff>38100</xdr:rowOff>
    </xdr:to>
    <xdr:sp macro="" textlink="">
      <xdr:nvSpPr>
        <xdr:cNvPr id="5" name="Line Callout 1 4">
          <a:extLst>
            <a:ext uri="{FF2B5EF4-FFF2-40B4-BE49-F238E27FC236}">
              <a16:creationId xmlns:a16="http://schemas.microsoft.com/office/drawing/2014/main" id="{00000000-0008-0000-0000-000005000000}"/>
            </a:ext>
          </a:extLst>
        </xdr:cNvPr>
        <xdr:cNvSpPr/>
      </xdr:nvSpPr>
      <xdr:spPr>
        <a:xfrm flipH="1">
          <a:off x="0" y="2552700"/>
          <a:ext cx="3261360" cy="1005840"/>
        </a:xfrm>
        <a:prstGeom prst="borderCallout1">
          <a:avLst>
            <a:gd name="adj1" fmla="val 42526"/>
            <a:gd name="adj2" fmla="val -1557"/>
            <a:gd name="adj3" fmla="val -74345"/>
            <a:gd name="adj4" fmla="val -21664"/>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900" b="1" u="sng"/>
            <a:t>Information</a:t>
          </a:r>
          <a:r>
            <a:rPr lang="en-US" sz="900" b="1" u="sng" baseline="0"/>
            <a:t> on the different reviewers</a:t>
          </a:r>
          <a:endParaRPr lang="en-US" sz="900" b="1" u="sng"/>
        </a:p>
        <a:p>
          <a:pPr algn="l"/>
          <a:r>
            <a:rPr lang="en-US" sz="900"/>
            <a:t>- trigram</a:t>
          </a:r>
        </a:p>
        <a:p>
          <a:pPr algn="l"/>
          <a:r>
            <a:rPr lang="en-US" sz="900"/>
            <a:t>- role of the reviewer</a:t>
          </a:r>
        </a:p>
        <a:p>
          <a:pPr algn="l"/>
          <a:r>
            <a:rPr lang="en-US" sz="900"/>
            <a:t>- review</a:t>
          </a:r>
          <a:r>
            <a:rPr lang="en-US" sz="900" baseline="0"/>
            <a:t> date (format YYYY/MM/DD)</a:t>
          </a:r>
        </a:p>
        <a:p>
          <a:pPr algn="l"/>
          <a:r>
            <a:rPr lang="en-US" sz="900" baseline="0"/>
            <a:t>- PES review status: should be the same as the associated task in DSxR&amp;D Authoring)</a:t>
          </a:r>
        </a:p>
        <a:p>
          <a:pPr algn="l"/>
          <a:r>
            <a:rPr lang="en-US" sz="900" baseline="0"/>
            <a:t>- review comment</a:t>
          </a:r>
          <a:endParaRPr lang="en-US" sz="900"/>
        </a:p>
      </xdr:txBody>
    </xdr:sp>
    <xdr:clientData/>
  </xdr:twoCellAnchor>
  <xdr:twoCellAnchor>
    <xdr:from>
      <xdr:col>0</xdr:col>
      <xdr:colOff>9204960</xdr:colOff>
      <xdr:row>46</xdr:row>
      <xdr:rowOff>68580</xdr:rowOff>
    </xdr:from>
    <xdr:to>
      <xdr:col>0</xdr:col>
      <xdr:colOff>12420600</xdr:colOff>
      <xdr:row>57</xdr:row>
      <xdr:rowOff>91440</xdr:rowOff>
    </xdr:to>
    <xdr:sp macro="" textlink="">
      <xdr:nvSpPr>
        <xdr:cNvPr id="12" name="Line Callout 1 11">
          <a:extLst>
            <a:ext uri="{FF2B5EF4-FFF2-40B4-BE49-F238E27FC236}">
              <a16:creationId xmlns:a16="http://schemas.microsoft.com/office/drawing/2014/main" id="{00000000-0008-0000-0000-00000C000000}"/>
            </a:ext>
          </a:extLst>
        </xdr:cNvPr>
        <xdr:cNvSpPr/>
      </xdr:nvSpPr>
      <xdr:spPr>
        <a:xfrm flipH="1">
          <a:off x="9204960" y="4732020"/>
          <a:ext cx="3215640" cy="2034540"/>
        </a:xfrm>
        <a:prstGeom prst="borderCallout1">
          <a:avLst>
            <a:gd name="adj1" fmla="val 42279"/>
            <a:gd name="adj2" fmla="val 101434"/>
            <a:gd name="adj3" fmla="val 37286"/>
            <a:gd name="adj4" fmla="val 126877"/>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900" b="1" u="sng"/>
            <a:t>Scope</a:t>
          </a:r>
        </a:p>
        <a:p>
          <a:pPr algn="l"/>
          <a:r>
            <a:rPr lang="en-US" sz="900"/>
            <a:t>The list of elements</a:t>
          </a:r>
          <a:r>
            <a:rPr lang="en-US" sz="900" baseline="0"/>
            <a:t> to be checked is automatically filtered according to the information typed in the summary tab</a:t>
          </a:r>
        </a:p>
        <a:p>
          <a:pPr algn="l"/>
          <a:endParaRPr lang="en-US" sz="900" baseline="0"/>
        </a:p>
        <a:p>
          <a:pPr algn="l"/>
          <a:endParaRPr lang="en-US" sz="900"/>
        </a:p>
      </xdr:txBody>
    </xdr:sp>
    <xdr:clientData/>
  </xdr:twoCellAnchor>
  <xdr:twoCellAnchor>
    <xdr:from>
      <xdr:col>0</xdr:col>
      <xdr:colOff>3535680</xdr:colOff>
      <xdr:row>50</xdr:row>
      <xdr:rowOff>121920</xdr:rowOff>
    </xdr:from>
    <xdr:to>
      <xdr:col>0</xdr:col>
      <xdr:colOff>7185660</xdr:colOff>
      <xdr:row>58</xdr:row>
      <xdr:rowOff>66675</xdr:rowOff>
    </xdr:to>
    <xdr:sp macro="" textlink="">
      <xdr:nvSpPr>
        <xdr:cNvPr id="13" name="Line Callout 1 12">
          <a:extLst>
            <a:ext uri="{FF2B5EF4-FFF2-40B4-BE49-F238E27FC236}">
              <a16:creationId xmlns:a16="http://schemas.microsoft.com/office/drawing/2014/main" id="{00000000-0008-0000-0000-00000D000000}"/>
            </a:ext>
          </a:extLst>
        </xdr:cNvPr>
        <xdr:cNvSpPr/>
      </xdr:nvSpPr>
      <xdr:spPr>
        <a:xfrm flipH="1">
          <a:off x="3535680" y="9789795"/>
          <a:ext cx="3649980" cy="1468755"/>
        </a:xfrm>
        <a:prstGeom prst="borderCallout1">
          <a:avLst>
            <a:gd name="adj1" fmla="val 54937"/>
            <a:gd name="adj2" fmla="val -699"/>
            <a:gd name="adj3" fmla="val -17814"/>
            <a:gd name="adj4" fmla="val -27626"/>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900" b="1" u="sng"/>
            <a:t>CheckList</a:t>
          </a:r>
          <a:r>
            <a:rPr lang="en-US" sz="900" b="1" u="sng" baseline="0"/>
            <a:t> Status</a:t>
          </a:r>
          <a:endParaRPr lang="en-US" sz="900" b="1" u="sng"/>
        </a:p>
        <a:p>
          <a:pPr algn="l"/>
          <a:r>
            <a:rPr lang="en-US" sz="900"/>
            <a:t>"Not Checked" means that the item hasn't been verified</a:t>
          </a:r>
        </a:p>
        <a:p>
          <a:pPr algn="l"/>
          <a:r>
            <a:rPr lang="en-US" sz="900"/>
            <a:t>"Checked" means that the item has been verified.</a:t>
          </a:r>
        </a:p>
        <a:p>
          <a:pPr algn="l"/>
          <a:r>
            <a:rPr lang="en-US" sz="900"/>
            <a:t>   - if some issues are raised during the verification (missing information , not understood, etc.), they have to be logged in the Review Tab and the value set to "Checked"</a:t>
          </a:r>
        </a:p>
        <a:p>
          <a:pPr algn="l"/>
          <a:r>
            <a:rPr lang="en-US" sz="900"/>
            <a:t>   - if no issue is raised during the verification the value must be set to "Checked"</a:t>
          </a:r>
        </a:p>
        <a:p>
          <a:pPr algn="l"/>
          <a:r>
            <a:rPr lang="en-US" sz="900"/>
            <a:t>   - if the sub-section is identified as N/A (wisely), the value must be set to "Checked"</a:t>
          </a:r>
        </a:p>
      </xdr:txBody>
    </xdr:sp>
    <xdr:clientData/>
  </xdr:twoCellAnchor>
  <xdr:twoCellAnchor>
    <xdr:from>
      <xdr:col>0</xdr:col>
      <xdr:colOff>15240</xdr:colOff>
      <xdr:row>75</xdr:row>
      <xdr:rowOff>121920</xdr:rowOff>
    </xdr:from>
    <xdr:to>
      <xdr:col>0</xdr:col>
      <xdr:colOff>1028700</xdr:colOff>
      <xdr:row>78</xdr:row>
      <xdr:rowOff>76200</xdr:rowOff>
    </xdr:to>
    <xdr:sp macro="" textlink="">
      <xdr:nvSpPr>
        <xdr:cNvPr id="16" name="Line Callout 1 15">
          <a:extLst>
            <a:ext uri="{FF2B5EF4-FFF2-40B4-BE49-F238E27FC236}">
              <a16:creationId xmlns:a16="http://schemas.microsoft.com/office/drawing/2014/main" id="{00000000-0008-0000-0000-000010000000}"/>
            </a:ext>
          </a:extLst>
        </xdr:cNvPr>
        <xdr:cNvSpPr/>
      </xdr:nvSpPr>
      <xdr:spPr>
        <a:xfrm flipH="1">
          <a:off x="15240" y="14599920"/>
          <a:ext cx="1013460" cy="525780"/>
        </a:xfrm>
        <a:prstGeom prst="borderCallout1">
          <a:avLst>
            <a:gd name="adj1" fmla="val 245"/>
            <a:gd name="adj2" fmla="val 60752"/>
            <a:gd name="adj3" fmla="val -135436"/>
            <a:gd name="adj4" fmla="val 63106"/>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N°</a:t>
          </a:r>
        </a:p>
        <a:p>
          <a:pPr algn="l"/>
          <a:r>
            <a:rPr lang="en-US" sz="800"/>
            <a:t>Unique ID</a:t>
          </a:r>
          <a:r>
            <a:rPr lang="en-US" sz="800" baseline="0"/>
            <a:t> of the issue</a:t>
          </a:r>
        </a:p>
        <a:p>
          <a:pPr algn="l"/>
          <a:r>
            <a:rPr lang="en-US" sz="800" baseline="0"/>
            <a:t>[Trigram]-###</a:t>
          </a:r>
          <a:endParaRPr lang="en-US" sz="800"/>
        </a:p>
      </xdr:txBody>
    </xdr:sp>
    <xdr:clientData/>
  </xdr:twoCellAnchor>
  <xdr:twoCellAnchor>
    <xdr:from>
      <xdr:col>0</xdr:col>
      <xdr:colOff>60960</xdr:colOff>
      <xdr:row>68</xdr:row>
      <xdr:rowOff>73574</xdr:rowOff>
    </xdr:from>
    <xdr:to>
      <xdr:col>0</xdr:col>
      <xdr:colOff>7131268</xdr:colOff>
      <xdr:row>69</xdr:row>
      <xdr:rowOff>7623</xdr:rowOff>
    </xdr:to>
    <xdr:sp macro="" textlink="">
      <xdr:nvSpPr>
        <xdr:cNvPr id="18" name="Left Brace 17">
          <a:extLst>
            <a:ext uri="{FF2B5EF4-FFF2-40B4-BE49-F238E27FC236}">
              <a16:creationId xmlns:a16="http://schemas.microsoft.com/office/drawing/2014/main" id="{00000000-0008-0000-0000-000012000000}"/>
            </a:ext>
          </a:extLst>
        </xdr:cNvPr>
        <xdr:cNvSpPr/>
      </xdr:nvSpPr>
      <xdr:spPr>
        <a:xfrm rot="5400000">
          <a:off x="3537649" y="5329405"/>
          <a:ext cx="116929" cy="7070308"/>
        </a:xfrm>
        <a:prstGeom prst="leftBrace">
          <a:avLst>
            <a:gd name="adj1" fmla="val 53205"/>
            <a:gd name="adj2" fmla="val 50000"/>
          </a:avLst>
        </a:prstGeom>
        <a:ln/>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7193282</xdr:colOff>
      <xdr:row>68</xdr:row>
      <xdr:rowOff>73576</xdr:rowOff>
    </xdr:from>
    <xdr:to>
      <xdr:col>0</xdr:col>
      <xdr:colOff>9997440</xdr:colOff>
      <xdr:row>69</xdr:row>
      <xdr:rowOff>22864</xdr:rowOff>
    </xdr:to>
    <xdr:sp macro="" textlink="">
      <xdr:nvSpPr>
        <xdr:cNvPr id="20" name="Left Brace 19">
          <a:extLst>
            <a:ext uri="{FF2B5EF4-FFF2-40B4-BE49-F238E27FC236}">
              <a16:creationId xmlns:a16="http://schemas.microsoft.com/office/drawing/2014/main" id="{00000000-0008-0000-0000-000014000000}"/>
            </a:ext>
          </a:extLst>
        </xdr:cNvPr>
        <xdr:cNvSpPr/>
      </xdr:nvSpPr>
      <xdr:spPr>
        <a:xfrm rot="5400000">
          <a:off x="8529277" y="7287221"/>
          <a:ext cx="132168" cy="2804158"/>
        </a:xfrm>
        <a:prstGeom prst="leftBrace">
          <a:avLst>
            <a:gd name="adj1" fmla="val 53205"/>
            <a:gd name="adj2" fmla="val 50000"/>
          </a:avLst>
        </a:prstGeom>
        <a:ln w="19050"/>
      </xdr:spPr>
      <xdr:style>
        <a:lnRef idx="1">
          <a:schemeClr val="accent3"/>
        </a:lnRef>
        <a:fillRef idx="0">
          <a:schemeClr val="accent3"/>
        </a:fillRef>
        <a:effectRef idx="0">
          <a:schemeClr val="accent3"/>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10035542</xdr:colOff>
      <xdr:row>68</xdr:row>
      <xdr:rowOff>65956</xdr:rowOff>
    </xdr:from>
    <xdr:to>
      <xdr:col>0</xdr:col>
      <xdr:colOff>12519660</xdr:colOff>
      <xdr:row>69</xdr:row>
      <xdr:rowOff>22860</xdr:rowOff>
    </xdr:to>
    <xdr:sp macro="" textlink="">
      <xdr:nvSpPr>
        <xdr:cNvPr id="21" name="Left Brace 20">
          <a:extLst>
            <a:ext uri="{FF2B5EF4-FFF2-40B4-BE49-F238E27FC236}">
              <a16:creationId xmlns:a16="http://schemas.microsoft.com/office/drawing/2014/main" id="{00000000-0008-0000-0000-000015000000}"/>
            </a:ext>
          </a:extLst>
        </xdr:cNvPr>
        <xdr:cNvSpPr/>
      </xdr:nvSpPr>
      <xdr:spPr>
        <a:xfrm rot="5400000">
          <a:off x="11207709" y="7443429"/>
          <a:ext cx="139784" cy="2484118"/>
        </a:xfrm>
        <a:prstGeom prst="leftBrace">
          <a:avLst>
            <a:gd name="adj1" fmla="val 53205"/>
            <a:gd name="adj2" fmla="val 50000"/>
          </a:avLst>
        </a:prstGeom>
        <a:ln/>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1714500</xdr:colOff>
      <xdr:row>66</xdr:row>
      <xdr:rowOff>30480</xdr:rowOff>
    </xdr:from>
    <xdr:to>
      <xdr:col>0</xdr:col>
      <xdr:colOff>6012180</xdr:colOff>
      <xdr:row>68</xdr:row>
      <xdr:rowOff>38100</xdr:rowOff>
    </xdr:to>
    <xdr:sp macro="" textlink="">
      <xdr:nvSpPr>
        <xdr:cNvPr id="22" name="Rectangle 21">
          <a:extLst>
            <a:ext uri="{FF2B5EF4-FFF2-40B4-BE49-F238E27FC236}">
              <a16:creationId xmlns:a16="http://schemas.microsoft.com/office/drawing/2014/main" id="{00000000-0008-0000-0000-000016000000}"/>
            </a:ext>
          </a:extLst>
        </xdr:cNvPr>
        <xdr:cNvSpPr/>
      </xdr:nvSpPr>
      <xdr:spPr>
        <a:xfrm>
          <a:off x="1714500" y="8214360"/>
          <a:ext cx="4297680" cy="3733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36000" rIns="36000" bIns="36000" rtlCol="0" anchor="ctr"/>
        <a:lstStyle/>
        <a:p>
          <a:pPr algn="ctr"/>
          <a:r>
            <a:rPr lang="en-US" sz="900"/>
            <a:t>Reviewer issue, initialized</a:t>
          </a:r>
          <a:r>
            <a:rPr lang="en-US" sz="900" baseline="0"/>
            <a:t> by the reviewer at the </a:t>
          </a:r>
          <a:r>
            <a:rPr lang="en-US" sz="900" baseline="0">
              <a:solidFill>
                <a:schemeClr val="lt1"/>
              </a:solidFill>
              <a:latin typeface="+mn-lt"/>
              <a:ea typeface="+mn-ea"/>
              <a:cs typeface="+mn-cs"/>
            </a:rPr>
            <a:t>creation of the issue</a:t>
          </a:r>
        </a:p>
      </xdr:txBody>
    </xdr:sp>
    <xdr:clientData/>
  </xdr:twoCellAnchor>
  <xdr:twoCellAnchor>
    <xdr:from>
      <xdr:col>0</xdr:col>
      <xdr:colOff>7223760</xdr:colOff>
      <xdr:row>66</xdr:row>
      <xdr:rowOff>0</xdr:rowOff>
    </xdr:from>
    <xdr:to>
      <xdr:col>0</xdr:col>
      <xdr:colOff>10005060</xdr:colOff>
      <xdr:row>68</xdr:row>
      <xdr:rowOff>7620</xdr:rowOff>
    </xdr:to>
    <xdr:sp macro="" textlink="">
      <xdr:nvSpPr>
        <xdr:cNvPr id="23" name="Rectangle 22">
          <a:extLst>
            <a:ext uri="{FF2B5EF4-FFF2-40B4-BE49-F238E27FC236}">
              <a16:creationId xmlns:a16="http://schemas.microsoft.com/office/drawing/2014/main" id="{00000000-0008-0000-0000-000017000000}"/>
            </a:ext>
          </a:extLst>
        </xdr:cNvPr>
        <xdr:cNvSpPr/>
      </xdr:nvSpPr>
      <xdr:spPr>
        <a:xfrm>
          <a:off x="7223760" y="8183880"/>
          <a:ext cx="2781300" cy="37338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900"/>
            <a:t>Answer from PES Author</a:t>
          </a:r>
        </a:p>
      </xdr:txBody>
    </xdr:sp>
    <xdr:clientData/>
  </xdr:twoCellAnchor>
  <xdr:twoCellAnchor>
    <xdr:from>
      <xdr:col>0</xdr:col>
      <xdr:colOff>10142220</xdr:colOff>
      <xdr:row>66</xdr:row>
      <xdr:rowOff>0</xdr:rowOff>
    </xdr:from>
    <xdr:to>
      <xdr:col>0</xdr:col>
      <xdr:colOff>12435840</xdr:colOff>
      <xdr:row>68</xdr:row>
      <xdr:rowOff>7620</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10142220" y="8183880"/>
          <a:ext cx="2293620" cy="3733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Reviewer assessment after </a:t>
          </a:r>
          <a:r>
            <a:rPr lang="en-US" sz="900">
              <a:solidFill>
                <a:schemeClr val="lt1"/>
              </a:solidFill>
              <a:latin typeface="+mn-lt"/>
              <a:ea typeface="+mn-ea"/>
              <a:cs typeface="+mn-cs"/>
            </a:rPr>
            <a:t>answer from PES author </a:t>
          </a:r>
        </a:p>
      </xdr:txBody>
    </xdr:sp>
    <xdr:clientData/>
  </xdr:twoCellAnchor>
  <xdr:twoCellAnchor>
    <xdr:from>
      <xdr:col>0</xdr:col>
      <xdr:colOff>472440</xdr:colOff>
      <xdr:row>79</xdr:row>
      <xdr:rowOff>175260</xdr:rowOff>
    </xdr:from>
    <xdr:to>
      <xdr:col>0</xdr:col>
      <xdr:colOff>1699260</xdr:colOff>
      <xdr:row>82</xdr:row>
      <xdr:rowOff>66675</xdr:rowOff>
    </xdr:to>
    <xdr:sp macro="" textlink="">
      <xdr:nvSpPr>
        <xdr:cNvPr id="27" name="Line Callout 1 26">
          <a:extLst>
            <a:ext uri="{FF2B5EF4-FFF2-40B4-BE49-F238E27FC236}">
              <a16:creationId xmlns:a16="http://schemas.microsoft.com/office/drawing/2014/main" id="{00000000-0008-0000-0000-00001B000000}"/>
            </a:ext>
          </a:extLst>
        </xdr:cNvPr>
        <xdr:cNvSpPr/>
      </xdr:nvSpPr>
      <xdr:spPr>
        <a:xfrm flipH="1">
          <a:off x="472440" y="15415260"/>
          <a:ext cx="1226820" cy="462915"/>
        </a:xfrm>
        <a:prstGeom prst="borderCallout1">
          <a:avLst>
            <a:gd name="adj1" fmla="val 2056"/>
            <a:gd name="adj2" fmla="val 40402"/>
            <a:gd name="adj3" fmla="val -324418"/>
            <a:gd name="adj4" fmla="val 58282"/>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Trigram</a:t>
          </a:r>
        </a:p>
        <a:p>
          <a:pPr algn="l"/>
          <a:r>
            <a:rPr lang="en-US" sz="800"/>
            <a:t>Trigram of the reviewer</a:t>
          </a:r>
        </a:p>
      </xdr:txBody>
    </xdr:sp>
    <xdr:clientData/>
  </xdr:twoCellAnchor>
  <xdr:twoCellAnchor>
    <xdr:from>
      <xdr:col>0</xdr:col>
      <xdr:colOff>1226820</xdr:colOff>
      <xdr:row>75</xdr:row>
      <xdr:rowOff>121920</xdr:rowOff>
    </xdr:from>
    <xdr:to>
      <xdr:col>0</xdr:col>
      <xdr:colOff>2286000</xdr:colOff>
      <xdr:row>78</xdr:row>
      <xdr:rowOff>76200</xdr:rowOff>
    </xdr:to>
    <xdr:sp macro="" textlink="">
      <xdr:nvSpPr>
        <xdr:cNvPr id="28" name="Line Callout 1 27">
          <a:extLst>
            <a:ext uri="{FF2B5EF4-FFF2-40B4-BE49-F238E27FC236}">
              <a16:creationId xmlns:a16="http://schemas.microsoft.com/office/drawing/2014/main" id="{00000000-0008-0000-0000-00001C000000}"/>
            </a:ext>
          </a:extLst>
        </xdr:cNvPr>
        <xdr:cNvSpPr/>
      </xdr:nvSpPr>
      <xdr:spPr>
        <a:xfrm flipH="1">
          <a:off x="1226820" y="14599920"/>
          <a:ext cx="1059180" cy="525780"/>
        </a:xfrm>
        <a:prstGeom prst="borderCallout1">
          <a:avLst>
            <a:gd name="adj1" fmla="val 2057"/>
            <a:gd name="adj2" fmla="val 58143"/>
            <a:gd name="adj3" fmla="val -133823"/>
            <a:gd name="adj4" fmla="val 71688"/>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PES Version Number</a:t>
          </a:r>
        </a:p>
        <a:p>
          <a:pPr algn="l"/>
          <a:r>
            <a:rPr lang="en-US" sz="800"/>
            <a:t>Version</a:t>
          </a:r>
          <a:r>
            <a:rPr lang="en-US" sz="800" baseline="0"/>
            <a:t> Number of the PES Reviewed</a:t>
          </a:r>
          <a:endParaRPr lang="en-US" sz="800"/>
        </a:p>
      </xdr:txBody>
    </xdr:sp>
    <xdr:clientData/>
  </xdr:twoCellAnchor>
  <xdr:twoCellAnchor>
    <xdr:from>
      <xdr:col>0</xdr:col>
      <xdr:colOff>1792605</xdr:colOff>
      <xdr:row>79</xdr:row>
      <xdr:rowOff>169545</xdr:rowOff>
    </xdr:from>
    <xdr:to>
      <xdr:col>0</xdr:col>
      <xdr:colOff>2981325</xdr:colOff>
      <xdr:row>82</xdr:row>
      <xdr:rowOff>76200</xdr:rowOff>
    </xdr:to>
    <xdr:sp macro="" textlink="">
      <xdr:nvSpPr>
        <xdr:cNvPr id="30" name="Line Callout 1 29">
          <a:extLst>
            <a:ext uri="{FF2B5EF4-FFF2-40B4-BE49-F238E27FC236}">
              <a16:creationId xmlns:a16="http://schemas.microsoft.com/office/drawing/2014/main" id="{00000000-0008-0000-0000-00001E000000}"/>
            </a:ext>
          </a:extLst>
        </xdr:cNvPr>
        <xdr:cNvSpPr/>
      </xdr:nvSpPr>
      <xdr:spPr>
        <a:xfrm flipH="1">
          <a:off x="1792605" y="15409545"/>
          <a:ext cx="1188720" cy="478155"/>
        </a:xfrm>
        <a:prstGeom prst="borderCallout1">
          <a:avLst>
            <a:gd name="adj1" fmla="val 4770"/>
            <a:gd name="adj2" fmla="val 40352"/>
            <a:gd name="adj3" fmla="val -317129"/>
            <a:gd name="adj4" fmla="val 45825"/>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Part</a:t>
          </a:r>
        </a:p>
        <a:p>
          <a:pPr algn="l"/>
          <a:r>
            <a:rPr lang="en-US" sz="800"/>
            <a:t>Section concerned</a:t>
          </a:r>
          <a:r>
            <a:rPr lang="en-US" sz="800" baseline="0"/>
            <a:t> by the issue</a:t>
          </a:r>
          <a:endParaRPr lang="en-US" sz="800"/>
        </a:p>
      </xdr:txBody>
    </xdr:sp>
    <xdr:clientData/>
  </xdr:twoCellAnchor>
  <xdr:twoCellAnchor>
    <xdr:from>
      <xdr:col>0</xdr:col>
      <xdr:colOff>2573655</xdr:colOff>
      <xdr:row>75</xdr:row>
      <xdr:rowOff>127635</xdr:rowOff>
    </xdr:from>
    <xdr:to>
      <xdr:col>0</xdr:col>
      <xdr:colOff>3846195</xdr:colOff>
      <xdr:row>78</xdr:row>
      <xdr:rowOff>81915</xdr:rowOff>
    </xdr:to>
    <xdr:sp macro="" textlink="">
      <xdr:nvSpPr>
        <xdr:cNvPr id="31" name="Line Callout 1 30">
          <a:extLst>
            <a:ext uri="{FF2B5EF4-FFF2-40B4-BE49-F238E27FC236}">
              <a16:creationId xmlns:a16="http://schemas.microsoft.com/office/drawing/2014/main" id="{00000000-0008-0000-0000-00001F000000}"/>
            </a:ext>
          </a:extLst>
        </xdr:cNvPr>
        <xdr:cNvSpPr/>
      </xdr:nvSpPr>
      <xdr:spPr>
        <a:xfrm flipH="1">
          <a:off x="2573655" y="14605635"/>
          <a:ext cx="1272540" cy="525780"/>
        </a:xfrm>
        <a:prstGeom prst="borderCallout1">
          <a:avLst>
            <a:gd name="adj1" fmla="val -1567"/>
            <a:gd name="adj2" fmla="val 39709"/>
            <a:gd name="adj3" fmla="val -135535"/>
            <a:gd name="adj4" fmla="val 50441"/>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Date</a:t>
          </a:r>
        </a:p>
        <a:p>
          <a:pPr algn="l"/>
          <a:r>
            <a:rPr lang="en-US" sz="800" b="0" u="none"/>
            <a:t>Creation</a:t>
          </a:r>
          <a:r>
            <a:rPr lang="en-US" sz="800" b="0" u="none" baseline="0"/>
            <a:t> Date of the issue (YYYY/MM/DD)</a:t>
          </a:r>
          <a:endParaRPr lang="en-US" sz="800" b="0" u="none"/>
        </a:p>
      </xdr:txBody>
    </xdr:sp>
    <xdr:clientData/>
  </xdr:twoCellAnchor>
  <xdr:twoCellAnchor>
    <xdr:from>
      <xdr:col>0</xdr:col>
      <xdr:colOff>5234940</xdr:colOff>
      <xdr:row>75</xdr:row>
      <xdr:rowOff>129540</xdr:rowOff>
    </xdr:from>
    <xdr:to>
      <xdr:col>0</xdr:col>
      <xdr:colOff>6423660</xdr:colOff>
      <xdr:row>78</xdr:row>
      <xdr:rowOff>83820</xdr:rowOff>
    </xdr:to>
    <xdr:sp macro="" textlink="">
      <xdr:nvSpPr>
        <xdr:cNvPr id="32" name="Line Callout 1 31">
          <a:extLst>
            <a:ext uri="{FF2B5EF4-FFF2-40B4-BE49-F238E27FC236}">
              <a16:creationId xmlns:a16="http://schemas.microsoft.com/office/drawing/2014/main" id="{00000000-0008-0000-0000-000020000000}"/>
            </a:ext>
          </a:extLst>
        </xdr:cNvPr>
        <xdr:cNvSpPr/>
      </xdr:nvSpPr>
      <xdr:spPr>
        <a:xfrm flipH="1">
          <a:off x="5234940" y="14607540"/>
          <a:ext cx="1188720" cy="525780"/>
        </a:xfrm>
        <a:prstGeom prst="borderCallout1">
          <a:avLst>
            <a:gd name="adj1" fmla="val 2056"/>
            <a:gd name="adj2" fmla="val 44359"/>
            <a:gd name="adj3" fmla="val -139290"/>
            <a:gd name="adj4" fmla="val 47427"/>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Issue</a:t>
          </a:r>
          <a:r>
            <a:rPr lang="en-US" sz="800" b="1" u="sng" baseline="0"/>
            <a:t> Found</a:t>
          </a:r>
          <a:endParaRPr lang="en-US" sz="800" b="1" u="sng"/>
        </a:p>
        <a:p>
          <a:pPr algn="l"/>
          <a:r>
            <a:rPr lang="en-US" sz="800"/>
            <a:t>Description</a:t>
          </a:r>
          <a:r>
            <a:rPr lang="en-US" sz="800" baseline="0"/>
            <a:t> of the issue</a:t>
          </a:r>
          <a:endParaRPr lang="en-US" sz="800"/>
        </a:p>
      </xdr:txBody>
    </xdr:sp>
    <xdr:clientData/>
  </xdr:twoCellAnchor>
  <xdr:twoCellAnchor>
    <xdr:from>
      <xdr:col>0</xdr:col>
      <xdr:colOff>4876800</xdr:colOff>
      <xdr:row>79</xdr:row>
      <xdr:rowOff>175260</xdr:rowOff>
    </xdr:from>
    <xdr:to>
      <xdr:col>0</xdr:col>
      <xdr:colOff>7551420</xdr:colOff>
      <xdr:row>83</xdr:row>
      <xdr:rowOff>152400</xdr:rowOff>
    </xdr:to>
    <xdr:sp macro="" textlink="">
      <xdr:nvSpPr>
        <xdr:cNvPr id="33" name="Line Callout 1 32">
          <a:extLst>
            <a:ext uri="{FF2B5EF4-FFF2-40B4-BE49-F238E27FC236}">
              <a16:creationId xmlns:a16="http://schemas.microsoft.com/office/drawing/2014/main" id="{00000000-0008-0000-0000-000021000000}"/>
            </a:ext>
          </a:extLst>
        </xdr:cNvPr>
        <xdr:cNvSpPr/>
      </xdr:nvSpPr>
      <xdr:spPr>
        <a:xfrm flipH="1">
          <a:off x="4876800" y="15415260"/>
          <a:ext cx="2674620" cy="739140"/>
        </a:xfrm>
        <a:prstGeom prst="borderCallout1">
          <a:avLst>
            <a:gd name="adj1" fmla="val 1885"/>
            <a:gd name="adj2" fmla="val 39462"/>
            <a:gd name="adj3" fmla="val -204542"/>
            <a:gd name="adj4" fmla="val 33466"/>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Severity</a:t>
          </a:r>
        </a:p>
        <a:p>
          <a:pPr algn="l"/>
          <a:r>
            <a:rPr lang="en-US" sz="800"/>
            <a:t>Severity</a:t>
          </a:r>
          <a:r>
            <a:rPr lang="en-US" sz="800" baseline="0"/>
            <a:t> of the issues. Possible Values:</a:t>
          </a:r>
        </a:p>
        <a:p>
          <a:pPr algn="l"/>
          <a:r>
            <a:rPr lang="en-US" sz="800"/>
            <a:t>- Major Issue - May Prevent PES to be approved </a:t>
          </a:r>
        </a:p>
        <a:p>
          <a:pPr algn="l"/>
          <a:r>
            <a:rPr lang="en-US" sz="800"/>
            <a:t>- Minor Issue - Needs clarification before PES Approval </a:t>
          </a:r>
        </a:p>
        <a:p>
          <a:pPr algn="l"/>
          <a:r>
            <a:rPr lang="en-US" sz="800"/>
            <a:t>- Cosmetic Remark - Should not block PES Approval </a:t>
          </a:r>
        </a:p>
      </xdr:txBody>
    </xdr:sp>
    <xdr:clientData/>
  </xdr:twoCellAnchor>
  <xdr:twoCellAnchor>
    <xdr:from>
      <xdr:col>0</xdr:col>
      <xdr:colOff>6781800</xdr:colOff>
      <xdr:row>75</xdr:row>
      <xdr:rowOff>121920</xdr:rowOff>
    </xdr:from>
    <xdr:to>
      <xdr:col>0</xdr:col>
      <xdr:colOff>8953500</xdr:colOff>
      <xdr:row>78</xdr:row>
      <xdr:rowOff>133350</xdr:rowOff>
    </xdr:to>
    <xdr:sp macro="" textlink="">
      <xdr:nvSpPr>
        <xdr:cNvPr id="34" name="Line Callout 1 33">
          <a:extLst>
            <a:ext uri="{FF2B5EF4-FFF2-40B4-BE49-F238E27FC236}">
              <a16:creationId xmlns:a16="http://schemas.microsoft.com/office/drawing/2014/main" id="{00000000-0008-0000-0000-000022000000}"/>
            </a:ext>
          </a:extLst>
        </xdr:cNvPr>
        <xdr:cNvSpPr/>
      </xdr:nvSpPr>
      <xdr:spPr>
        <a:xfrm flipH="1">
          <a:off x="6781800" y="14599920"/>
          <a:ext cx="2171700" cy="582930"/>
        </a:xfrm>
        <a:prstGeom prst="borderCallout1">
          <a:avLst>
            <a:gd name="adj1" fmla="val -645"/>
            <a:gd name="adj2" fmla="val 82657"/>
            <a:gd name="adj3" fmla="val -122869"/>
            <a:gd name="adj4" fmla="val 80599"/>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Answer</a:t>
          </a:r>
        </a:p>
        <a:p>
          <a:pPr algn="l"/>
          <a:r>
            <a:rPr lang="en-US" sz="800"/>
            <a:t>PES</a:t>
          </a:r>
          <a:r>
            <a:rPr lang="en-US" sz="800" baseline="0"/>
            <a:t> Author Answer to the issue. Possible Values:</a:t>
          </a:r>
        </a:p>
        <a:p>
          <a:pPr algn="l"/>
          <a:r>
            <a:rPr lang="en-US" sz="800" baseline="0"/>
            <a:t>- Accepted: the PES will be updated</a:t>
          </a:r>
        </a:p>
        <a:p>
          <a:pPr algn="l"/>
          <a:r>
            <a:rPr lang="en-US" sz="800" baseline="0"/>
            <a:t>- Rejected: the PES won't be updated</a:t>
          </a:r>
          <a:endParaRPr lang="en-US" sz="800"/>
        </a:p>
      </xdr:txBody>
    </xdr:sp>
    <xdr:clientData/>
  </xdr:twoCellAnchor>
  <xdr:twoCellAnchor>
    <xdr:from>
      <xdr:col>0</xdr:col>
      <xdr:colOff>8321040</xdr:colOff>
      <xdr:row>79</xdr:row>
      <xdr:rowOff>175260</xdr:rowOff>
    </xdr:from>
    <xdr:to>
      <xdr:col>0</xdr:col>
      <xdr:colOff>9441180</xdr:colOff>
      <xdr:row>82</xdr:row>
      <xdr:rowOff>76200</xdr:rowOff>
    </xdr:to>
    <xdr:sp macro="" textlink="">
      <xdr:nvSpPr>
        <xdr:cNvPr id="35" name="Line Callout 1 34">
          <a:extLst>
            <a:ext uri="{FF2B5EF4-FFF2-40B4-BE49-F238E27FC236}">
              <a16:creationId xmlns:a16="http://schemas.microsoft.com/office/drawing/2014/main" id="{00000000-0008-0000-0000-000023000000}"/>
            </a:ext>
          </a:extLst>
        </xdr:cNvPr>
        <xdr:cNvSpPr/>
      </xdr:nvSpPr>
      <xdr:spPr>
        <a:xfrm flipH="1">
          <a:off x="8321040" y="15415260"/>
          <a:ext cx="1120140" cy="472440"/>
        </a:xfrm>
        <a:prstGeom prst="borderCallout1">
          <a:avLst>
            <a:gd name="adj1" fmla="val -2901"/>
            <a:gd name="adj2" fmla="val 27555"/>
            <a:gd name="adj3" fmla="val -317833"/>
            <a:gd name="adj4" fmla="val 49178"/>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Comment</a:t>
          </a:r>
        </a:p>
        <a:p>
          <a:pPr algn="l"/>
          <a:r>
            <a:rPr lang="en-US" sz="800"/>
            <a:t>Precisions</a:t>
          </a:r>
          <a:r>
            <a:rPr lang="en-US" sz="800" baseline="0"/>
            <a:t> on the answer</a:t>
          </a:r>
          <a:endParaRPr lang="en-US" sz="800"/>
        </a:p>
      </xdr:txBody>
    </xdr:sp>
    <xdr:clientData/>
  </xdr:twoCellAnchor>
  <xdr:twoCellAnchor>
    <xdr:from>
      <xdr:col>0</xdr:col>
      <xdr:colOff>9227820</xdr:colOff>
      <xdr:row>75</xdr:row>
      <xdr:rowOff>121920</xdr:rowOff>
    </xdr:from>
    <xdr:to>
      <xdr:col>0</xdr:col>
      <xdr:colOff>10523220</xdr:colOff>
      <xdr:row>79</xdr:row>
      <xdr:rowOff>106680</xdr:rowOff>
    </xdr:to>
    <xdr:sp macro="" textlink="">
      <xdr:nvSpPr>
        <xdr:cNvPr id="36" name="Line Callout 1 35">
          <a:extLst>
            <a:ext uri="{FF2B5EF4-FFF2-40B4-BE49-F238E27FC236}">
              <a16:creationId xmlns:a16="http://schemas.microsoft.com/office/drawing/2014/main" id="{00000000-0008-0000-0000-000024000000}"/>
            </a:ext>
          </a:extLst>
        </xdr:cNvPr>
        <xdr:cNvSpPr/>
      </xdr:nvSpPr>
      <xdr:spPr>
        <a:xfrm flipH="1">
          <a:off x="9227820" y="10134600"/>
          <a:ext cx="1295400" cy="716280"/>
        </a:xfrm>
        <a:prstGeom prst="borderCallout1">
          <a:avLst>
            <a:gd name="adj1" fmla="val 84"/>
            <a:gd name="adj2" fmla="val 67691"/>
            <a:gd name="adj3" fmla="val -96472"/>
            <a:gd name="adj4" fmla="val 78261"/>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PES Updated</a:t>
          </a:r>
        </a:p>
        <a:p>
          <a:pPr algn="l"/>
          <a:r>
            <a:rPr lang="en-US" sz="800"/>
            <a:t>yes: the PES</a:t>
          </a:r>
          <a:r>
            <a:rPr lang="en-US" sz="800" baseline="0"/>
            <a:t> has been updated in the function</a:t>
          </a:r>
        </a:p>
        <a:p>
          <a:pPr algn="l"/>
          <a:r>
            <a:rPr lang="en-US" sz="800" baseline="0"/>
            <a:t>no: the PES has not yet been updated</a:t>
          </a:r>
          <a:endParaRPr lang="en-US" sz="800"/>
        </a:p>
      </xdr:txBody>
    </xdr:sp>
    <xdr:clientData/>
  </xdr:twoCellAnchor>
  <xdr:twoCellAnchor>
    <xdr:from>
      <xdr:col>0</xdr:col>
      <xdr:colOff>9745978</xdr:colOff>
      <xdr:row>79</xdr:row>
      <xdr:rowOff>175260</xdr:rowOff>
    </xdr:from>
    <xdr:to>
      <xdr:col>0</xdr:col>
      <xdr:colOff>11744323</xdr:colOff>
      <xdr:row>84</xdr:row>
      <xdr:rowOff>66675</xdr:rowOff>
    </xdr:to>
    <xdr:sp macro="" textlink="">
      <xdr:nvSpPr>
        <xdr:cNvPr id="37" name="Line Callout 1 36">
          <a:extLst>
            <a:ext uri="{FF2B5EF4-FFF2-40B4-BE49-F238E27FC236}">
              <a16:creationId xmlns:a16="http://schemas.microsoft.com/office/drawing/2014/main" id="{00000000-0008-0000-0000-000025000000}"/>
            </a:ext>
          </a:extLst>
        </xdr:cNvPr>
        <xdr:cNvSpPr/>
      </xdr:nvSpPr>
      <xdr:spPr>
        <a:xfrm flipH="1">
          <a:off x="9745978" y="15415260"/>
          <a:ext cx="1998345" cy="843915"/>
        </a:xfrm>
        <a:prstGeom prst="borderCallout1">
          <a:avLst>
            <a:gd name="adj1" fmla="val -1395"/>
            <a:gd name="adj2" fmla="val 47323"/>
            <a:gd name="adj3" fmla="val -178065"/>
            <a:gd name="adj4" fmla="val 62960"/>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Issue Status</a:t>
          </a:r>
        </a:p>
        <a:p>
          <a:pPr algn="l"/>
          <a:r>
            <a:rPr lang="en-US" sz="800"/>
            <a:t>Assessment of the reviewer on the answer</a:t>
          </a:r>
        </a:p>
        <a:p>
          <a:pPr algn="l"/>
          <a:r>
            <a:rPr lang="en-US" sz="800"/>
            <a:t>- Closed:  the</a:t>
          </a:r>
          <a:r>
            <a:rPr lang="en-US" sz="800" baseline="0"/>
            <a:t> reviewer agrees with the answer of its issue and the PES reflects this answer</a:t>
          </a:r>
        </a:p>
        <a:p>
          <a:pPr algn="l"/>
          <a:r>
            <a:rPr lang="en-US" sz="800" baseline="0"/>
            <a:t>- Open: the reviewer doesn't agree with the answer or the PES doesn't reflect this answer</a:t>
          </a:r>
          <a:endParaRPr lang="en-US" sz="800"/>
        </a:p>
      </xdr:txBody>
    </xdr:sp>
    <xdr:clientData/>
  </xdr:twoCellAnchor>
  <xdr:twoCellAnchor>
    <xdr:from>
      <xdr:col>0</xdr:col>
      <xdr:colOff>10858500</xdr:colOff>
      <xdr:row>75</xdr:row>
      <xdr:rowOff>121920</xdr:rowOff>
    </xdr:from>
    <xdr:to>
      <xdr:col>0</xdr:col>
      <xdr:colOff>12153900</xdr:colOff>
      <xdr:row>78</xdr:row>
      <xdr:rowOff>76200</xdr:rowOff>
    </xdr:to>
    <xdr:sp macro="" textlink="">
      <xdr:nvSpPr>
        <xdr:cNvPr id="38" name="Line Callout 1 37">
          <a:extLst>
            <a:ext uri="{FF2B5EF4-FFF2-40B4-BE49-F238E27FC236}">
              <a16:creationId xmlns:a16="http://schemas.microsoft.com/office/drawing/2014/main" id="{00000000-0008-0000-0000-000026000000}"/>
            </a:ext>
          </a:extLst>
        </xdr:cNvPr>
        <xdr:cNvSpPr/>
      </xdr:nvSpPr>
      <xdr:spPr>
        <a:xfrm flipH="1">
          <a:off x="10858500" y="10134600"/>
          <a:ext cx="1295400" cy="502920"/>
        </a:xfrm>
        <a:prstGeom prst="borderCallout1">
          <a:avLst>
            <a:gd name="adj1" fmla="val 84"/>
            <a:gd name="adj2" fmla="val 67691"/>
            <a:gd name="adj3" fmla="val -132384"/>
            <a:gd name="adj4" fmla="val 74144"/>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Additionnal</a:t>
          </a:r>
          <a:r>
            <a:rPr lang="en-US" sz="800" b="1" u="sng" baseline="0"/>
            <a:t> Comments</a:t>
          </a:r>
          <a:endParaRPr lang="en-US" sz="800" b="1" u="sng"/>
        </a:p>
        <a:p>
          <a:pPr algn="l"/>
          <a:r>
            <a:rPr lang="en-US" sz="800"/>
            <a:t>Additionnal </a:t>
          </a:r>
          <a:r>
            <a:rPr lang="en-US" sz="800" baseline="0"/>
            <a:t> comments of the reviewer on the answer</a:t>
          </a:r>
          <a:endParaRPr lang="en-US" sz="800"/>
        </a:p>
      </xdr:txBody>
    </xdr:sp>
    <xdr:clientData/>
  </xdr:twoCellAnchor>
  <xdr:twoCellAnchor editAs="oneCell">
    <xdr:from>
      <xdr:col>0</xdr:col>
      <xdr:colOff>3977640</xdr:colOff>
      <xdr:row>3</xdr:row>
      <xdr:rowOff>112730</xdr:rowOff>
    </xdr:from>
    <xdr:to>
      <xdr:col>0</xdr:col>
      <xdr:colOff>6534150</xdr:colOff>
      <xdr:row>21</xdr:row>
      <xdr:rowOff>98818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3"/>
        <a:srcRect r="50223"/>
        <a:stretch/>
      </xdr:blipFill>
      <xdr:spPr>
        <a:xfrm>
          <a:off x="3977640" y="731855"/>
          <a:ext cx="2556510" cy="3415088"/>
        </a:xfrm>
        <a:prstGeom prst="rect">
          <a:avLst/>
        </a:prstGeom>
      </xdr:spPr>
    </xdr:pic>
    <xdr:clientData/>
  </xdr:twoCellAnchor>
  <xdr:twoCellAnchor>
    <xdr:from>
      <xdr:col>0</xdr:col>
      <xdr:colOff>0</xdr:colOff>
      <xdr:row>11</xdr:row>
      <xdr:rowOff>0</xdr:rowOff>
    </xdr:from>
    <xdr:to>
      <xdr:col>0</xdr:col>
      <xdr:colOff>3276600</xdr:colOff>
      <xdr:row>13</xdr:row>
      <xdr:rowOff>22860</xdr:rowOff>
    </xdr:to>
    <xdr:sp macro="" textlink="">
      <xdr:nvSpPr>
        <xdr:cNvPr id="6" name="Line Callout 1 5">
          <a:extLst>
            <a:ext uri="{FF2B5EF4-FFF2-40B4-BE49-F238E27FC236}">
              <a16:creationId xmlns:a16="http://schemas.microsoft.com/office/drawing/2014/main" id="{00000000-0008-0000-0000-000006000000}"/>
            </a:ext>
          </a:extLst>
        </xdr:cNvPr>
        <xdr:cNvSpPr/>
      </xdr:nvSpPr>
      <xdr:spPr>
        <a:xfrm flipH="1">
          <a:off x="0" y="2057400"/>
          <a:ext cx="3276600" cy="388620"/>
        </a:xfrm>
        <a:prstGeom prst="borderCallout1">
          <a:avLst>
            <a:gd name="adj1" fmla="val 20711"/>
            <a:gd name="adj2" fmla="val -2287"/>
            <a:gd name="adj3" fmla="val -190974"/>
            <a:gd name="adj4" fmla="val -20975"/>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900" b="1" i="0" u="sng"/>
            <a:t>Summary of the issues logged in the</a:t>
          </a:r>
          <a:r>
            <a:rPr lang="en-US" sz="900" b="1" i="0" u="sng" baseline="0"/>
            <a:t> Review tab by issue status and issue severity</a:t>
          </a:r>
          <a:endParaRPr lang="en-US" sz="900" b="1" i="0" u="sng"/>
        </a:p>
      </xdr:txBody>
    </xdr:sp>
    <xdr:clientData/>
  </xdr:twoCellAnchor>
  <xdr:twoCellAnchor>
    <xdr:from>
      <xdr:col>0</xdr:col>
      <xdr:colOff>373380</xdr:colOff>
      <xdr:row>26</xdr:row>
      <xdr:rowOff>22860</xdr:rowOff>
    </xdr:from>
    <xdr:to>
      <xdr:col>0</xdr:col>
      <xdr:colOff>3234690</xdr:colOff>
      <xdr:row>30</xdr:row>
      <xdr:rowOff>171450</xdr:rowOff>
    </xdr:to>
    <xdr:sp macro="" textlink="">
      <xdr:nvSpPr>
        <xdr:cNvPr id="7" name="Line Callout 1 6">
          <a:extLst>
            <a:ext uri="{FF2B5EF4-FFF2-40B4-BE49-F238E27FC236}">
              <a16:creationId xmlns:a16="http://schemas.microsoft.com/office/drawing/2014/main" id="{00000000-0008-0000-0000-000007000000}"/>
            </a:ext>
          </a:extLst>
        </xdr:cNvPr>
        <xdr:cNvSpPr/>
      </xdr:nvSpPr>
      <xdr:spPr>
        <a:xfrm flipH="1">
          <a:off x="373380" y="5071110"/>
          <a:ext cx="2861310" cy="910590"/>
        </a:xfrm>
        <a:prstGeom prst="borderCallout1">
          <a:avLst>
            <a:gd name="adj1" fmla="val 46783"/>
            <a:gd name="adj2" fmla="val -97"/>
            <a:gd name="adj3" fmla="val 56048"/>
            <a:gd name="adj4" fmla="val -25750"/>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900" b="1" u="sng"/>
            <a:t>Summary of the checklist verification progress</a:t>
          </a:r>
        </a:p>
        <a:p>
          <a:pPr algn="l"/>
          <a:r>
            <a:rPr lang="en-US" sz="900"/>
            <a:t>This summary is automatically calculated</a:t>
          </a:r>
          <a:r>
            <a:rPr lang="en-US" sz="900" baseline="0"/>
            <a:t> according to:</a:t>
          </a:r>
        </a:p>
        <a:p>
          <a:pPr algn="l"/>
          <a:r>
            <a:rPr lang="en-US" sz="900" baseline="0"/>
            <a:t>- the information entered in tab CheckList tab</a:t>
          </a:r>
        </a:p>
        <a:p>
          <a:pPr algn="l"/>
          <a:r>
            <a:rPr lang="en-US" sz="900" baseline="0"/>
            <a:t>- the Brand selected in the PES Information part </a:t>
          </a:r>
        </a:p>
        <a:p>
          <a:pPr algn="l"/>
          <a:r>
            <a:rPr lang="en-US" sz="900" baseline="0"/>
            <a:t>- the PES Template version selected in the PES Information part</a:t>
          </a:r>
        </a:p>
        <a:p>
          <a:pPr algn="l"/>
          <a:endParaRPr lang="en-US" sz="900"/>
        </a:p>
      </xdr:txBody>
    </xdr:sp>
    <xdr:clientData/>
  </xdr:twoCellAnchor>
  <xdr:twoCellAnchor editAs="oneCell">
    <xdr:from>
      <xdr:col>0</xdr:col>
      <xdr:colOff>9288687</xdr:colOff>
      <xdr:row>49</xdr:row>
      <xdr:rowOff>144780</xdr:rowOff>
    </xdr:from>
    <xdr:to>
      <xdr:col>0</xdr:col>
      <xdr:colOff>12409784</xdr:colOff>
      <xdr:row>56</xdr:row>
      <xdr:rowOff>60960</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a:stretch>
          <a:fillRect/>
        </a:stretch>
      </xdr:blipFill>
      <xdr:spPr>
        <a:xfrm>
          <a:off x="9288687" y="5356860"/>
          <a:ext cx="3121097" cy="1196340"/>
        </a:xfrm>
        <a:prstGeom prst="rect">
          <a:avLst/>
        </a:prstGeom>
      </xdr:spPr>
    </xdr:pic>
    <xdr:clientData/>
  </xdr:twoCellAnchor>
  <xdr:twoCellAnchor>
    <xdr:from>
      <xdr:col>0</xdr:col>
      <xdr:colOff>3954780</xdr:colOff>
      <xdr:row>75</xdr:row>
      <xdr:rowOff>137160</xdr:rowOff>
    </xdr:from>
    <xdr:to>
      <xdr:col>0</xdr:col>
      <xdr:colOff>5143500</xdr:colOff>
      <xdr:row>78</xdr:row>
      <xdr:rowOff>91440</xdr:rowOff>
    </xdr:to>
    <xdr:sp macro="" textlink="">
      <xdr:nvSpPr>
        <xdr:cNvPr id="39" name="Line Callout 1 38">
          <a:extLst>
            <a:ext uri="{FF2B5EF4-FFF2-40B4-BE49-F238E27FC236}">
              <a16:creationId xmlns:a16="http://schemas.microsoft.com/office/drawing/2014/main" id="{00000000-0008-0000-0000-000027000000}"/>
            </a:ext>
          </a:extLst>
        </xdr:cNvPr>
        <xdr:cNvSpPr/>
      </xdr:nvSpPr>
      <xdr:spPr>
        <a:xfrm flipH="1">
          <a:off x="3954780" y="14615160"/>
          <a:ext cx="1188720" cy="525780"/>
        </a:xfrm>
        <a:prstGeom prst="borderCallout1">
          <a:avLst>
            <a:gd name="adj1" fmla="val 244"/>
            <a:gd name="adj2" fmla="val 79616"/>
            <a:gd name="adj3" fmla="val -136423"/>
            <a:gd name="adj4" fmla="val 100472"/>
          </a:avLst>
        </a:prstGeom>
      </xdr:spPr>
      <xdr:style>
        <a:lnRef idx="2">
          <a:schemeClr val="accent3"/>
        </a:lnRef>
        <a:fillRef idx="1">
          <a:schemeClr val="lt1"/>
        </a:fillRef>
        <a:effectRef idx="0">
          <a:schemeClr val="accent3"/>
        </a:effectRef>
        <a:fontRef idx="minor">
          <a:schemeClr val="dk1"/>
        </a:fontRef>
      </xdr:style>
      <xdr:txBody>
        <a:bodyPr vertOverflow="clip" horzOverflow="clip" lIns="36000" tIns="36000" rIns="36000" bIns="36000" rtlCol="0" anchor="t"/>
        <a:lstStyle/>
        <a:p>
          <a:pPr algn="l"/>
          <a:r>
            <a:rPr lang="en-US" sz="800" b="1" u="sng"/>
            <a:t>Issue</a:t>
          </a:r>
          <a:r>
            <a:rPr lang="en-US" sz="800" b="1" u="sng" baseline="0"/>
            <a:t> Type</a:t>
          </a:r>
          <a:endParaRPr lang="en-US" sz="800" b="1" u="sng"/>
        </a:p>
        <a:p>
          <a:pPr algn="l"/>
          <a:r>
            <a:rPr lang="en-US" sz="800"/>
            <a:t>Categorization of the issue</a:t>
          </a:r>
        </a:p>
      </xdr:txBody>
    </xdr:sp>
    <xdr:clientData/>
  </xdr:twoCellAnchor>
  <xdr:twoCellAnchor editAs="oneCell">
    <xdr:from>
      <xdr:col>0</xdr:col>
      <xdr:colOff>4000500</xdr:colOff>
      <xdr:row>25</xdr:row>
      <xdr:rowOff>95250</xdr:rowOff>
    </xdr:from>
    <xdr:to>
      <xdr:col>0</xdr:col>
      <xdr:colOff>6372225</xdr:colOff>
      <xdr:row>41</xdr:row>
      <xdr:rowOff>125163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4000500" y="4953000"/>
          <a:ext cx="2371725" cy="3077913"/>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0000000}" name="Table530" displayName="Table530" ref="B16:F17" totalsRowShown="0" headerRowDxfId="71" dataDxfId="69" headerRowBorderDxfId="70" tableBorderDxfId="68" totalsRowBorderDxfId="67">
  <autoFilter ref="B16:F17" xr:uid="{00000000-0009-0000-0100-00001D000000}"/>
  <tableColumns count="5">
    <tableColumn id="1" xr3:uid="{00000000-0010-0000-0000-000001000000}" name="TRIGRAM" dataDxfId="66"/>
    <tableColumn id="2" xr3:uid="{00000000-0010-0000-0000-000002000000}" name="Role" dataDxfId="65"/>
    <tableColumn id="3" xr3:uid="{00000000-0010-0000-0000-000003000000}" name="Review Date" dataDxfId="64"/>
    <tableColumn id="4" xr3:uid="{00000000-0010-0000-0000-000004000000}" name="PES Review Status" dataDxfId="63" dataCellStyle="Currency"/>
    <tableColumn id="6" xr3:uid="{00000000-0010-0000-0000-000006000000}" name="Review Comment" dataDxfId="62"/>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1000000}" name="Table21" displayName="Table21" ref="B2:K102" totalsRowShown="0" tableBorderDxfId="61">
  <autoFilter ref="B2:K102" xr:uid="{00000000-0009-0000-0100-000015000000}">
    <filterColumn colId="6">
      <customFilters>
        <customFilter operator="notEqual" val=" "/>
      </customFilters>
    </filterColumn>
  </autoFilter>
  <tableColumns count="10">
    <tableColumn id="1" xr3:uid="{00000000-0010-0000-0100-000001000000}" name="Part"/>
    <tableColumn id="9" xr3:uid="{00000000-0010-0000-0100-000009000000}" name="Type"/>
    <tableColumn id="2" xr3:uid="{00000000-0010-0000-0100-000002000000}" name="Column2" dataDxfId="60">
      <calculatedColumnFormula>CONCATENATE(B3,"Checked")</calculatedColumnFormula>
    </tableColumn>
    <tableColumn id="3" xr3:uid="{00000000-0010-0000-0100-000003000000}" name="V4R35-V4R39" dataDxfId="59"/>
    <tableColumn id="4" xr3:uid="{00000000-0010-0000-0100-000004000000}" name="V4R40-V4R43" dataDxfId="58"/>
    <tableColumn id="10" xr3:uid="{00000000-0010-0000-0100-00000A000000}" name="V5R1-V5R3" dataDxfId="57"/>
    <tableColumn id="5" xr3:uid="{00000000-0010-0000-0100-000005000000}" name="V5R4 and after" dataDxfId="56"/>
    <tableColumn id="6" xr3:uid="{00000000-0010-0000-0100-000006000000}" name="#item">
      <calculatedColumnFormula>SUMPRODUCT(SUBTOTAL(103,OFFSET(Table42[Part],ROW(Table42[Part])-ROW(CheckList!$C$3),0,1)),--(Table42[Part]=B3))</calculatedColumnFormula>
    </tableColumn>
    <tableColumn id="7" xr3:uid="{00000000-0010-0000-0100-000007000000}" name="#checked" dataDxfId="55">
      <calculatedColumnFormula>IF(AND(Table21[[#This Row],[Type]]="Section",SUMPRODUCT(SUBTOTAL(103,OFFSET(Table42[Part],ROW(Table42[Part])-ROW(CheckList!$C$3),0,1)),--(Table42[Part]=B3))=0),"",SUMPRODUCT(SUBTOTAL(103,OFFSET(Table42[Part],ROW(Table42[Part])-ROW(CheckList!$C$3),0,1)),--(Table42[Column1]=D3)))</calculatedColumnFormula>
    </tableColumn>
    <tableColumn id="8" xr3:uid="{00000000-0010-0000-0100-000008000000}" name="Progress" dataDxfId="54" dataCellStyle="Percent">
      <calculatedColumnFormula>IF(AND(Table21[[#This Row],[Type]]="Section",SUMPRODUCT(SUBTOTAL(103,OFFSET(Table42[Part],ROW(Table42[Part])-ROW(CheckList!$C$3),0,1)),--(Table42[Part]=B3))=0),"",IF(I3=0,1,(J3/I3)))</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42" displayName="Table42" ref="A2:AA174" totalsRowShown="0" headerRowDxfId="51" dataDxfId="50">
  <autoFilter ref="A2:AA174" xr:uid="{00000000-0009-0000-0100-000001000000}">
    <filterColumn colId="2">
      <filters>
        <filter val="Section 1 - 1 Related requirement(s)"/>
        <filter val="Section 1 - 2 What will the customer use this for"/>
        <filter val="Section 1 - 3 What the function will do"/>
        <filter val="Section 1 - 3.1 Concepts"/>
        <filter val="Section 1 - 3.2 Function capabilities overview"/>
        <filter val="Section 1 - 3.3 Limitations"/>
        <filter val="Section 1 - 4 What the function will not do"/>
        <filter val="Section 1 - 5 Commercial packaging"/>
        <filter val="Section 2 - 1 Packaging"/>
        <filter val="Section 2 - 2.1 User interface"/>
        <filter val="Section 2 - 2.2 User assistance"/>
        <filter val="Section 2 - 2.3 Page Objects"/>
        <filter val="Section 2 - 3.1 Supported object types"/>
        <filter val="Section 2 - 3.2 Expected behavior for each object type"/>
        <filter val="Section 2 - 3.3 Data persistency and/or upgrade"/>
        <filter val="Section 2 - 3.4 Data repository"/>
        <filter val="Section 2 - 4 Customization by end user or administrator"/>
        <filter val="Section 2 - 5 Programming Interface"/>
        <filter val="Section 3 - 1 Performance, capacity and scalability (PCS)"/>
        <filter val="Section 3 - 2 Security Controls"/>
        <filter val="Section 3 - 3 Data privacy"/>
        <filter val="Section 4 - 1 Functional Acceptance Test"/>
        <filter val="Section 4 - 2 Limit &amp; Negative Acceptance Tests"/>
        <filter val="Section 4 - 3 Performance/Capacity/Scalability Acceptance Tests"/>
        <filter val="Section 4 - 4 Page Objects Usage in Acceptance Tests"/>
        <filter val="Section 5. 3DSpace Baseline Behavior Support"/>
        <filter val="Section 6 - 1 Reference Materials"/>
        <filter val="Table of Contents"/>
      </filters>
    </filterColumn>
    <filterColumn colId="21">
      <customFilters>
        <customFilter operator="notEqual" val=" "/>
      </customFilters>
    </filterColumn>
  </autoFilter>
  <tableColumns count="27">
    <tableColumn id="18" xr3:uid="{00000000-0010-0000-0200-000012000000}" name="#" dataDxfId="49"/>
    <tableColumn id="1" xr3:uid="{00000000-0010-0000-0200-000001000000}" name="PES Section" dataDxfId="48"/>
    <tableColumn id="2" xr3:uid="{00000000-0010-0000-0200-000002000000}" name="Part" dataDxfId="47"/>
    <tableColumn id="3" xr3:uid="{00000000-0010-0000-0200-000003000000}" name="Check List" dataDxfId="46"/>
    <tableColumn id="4" xr3:uid="{00000000-0010-0000-0200-000004000000}" name="Status" dataDxfId="45"/>
    <tableColumn id="19" xr3:uid="{00000000-0010-0000-0200-000013000000}" name="Column1" dataDxfId="44" dataCellStyle="Currency">
      <calculatedColumnFormula>CONCATENATE(Table42[[#This Row],[Part]]," ",Table42[[#This Row],[Status]])</calculatedColumnFormula>
    </tableColumn>
    <tableColumn id="16" xr3:uid="{00000000-0010-0000-0200-000010000000}" name="3DEXCITE" dataDxfId="43"/>
    <tableColumn id="5" xr3:uid="{00000000-0010-0000-0200-000005000000}" name="3DEXPERIENCE" dataDxfId="42"/>
    <tableColumn id="6" xr3:uid="{00000000-0010-0000-0200-000006000000}" name="BIOVIA" dataDxfId="41"/>
    <tableColumn id="7" xr3:uid="{00000000-0010-0000-0200-000007000000}" name="CATIA" dataDxfId="40"/>
    <tableColumn id="8" xr3:uid="{00000000-0010-0000-0200-000008000000}" name="DELMIA" dataDxfId="39"/>
    <tableColumn id="9" xr3:uid="{00000000-0010-0000-0200-000009000000}" name="ENOVIA" dataDxfId="38"/>
    <tableColumn id="10" xr3:uid="{00000000-0010-0000-0200-00000A000000}" name="GEOVIA" dataDxfId="37"/>
    <tableColumn id="20" xr3:uid="{00000000-0010-0000-0200-000014000000}" name="QUINTIQ" dataDxfId="36"/>
    <tableColumn id="11" xr3:uid="{00000000-0010-0000-0200-00000B000000}" name="R&amp;D INDUSTRY" dataDxfId="35"/>
    <tableColumn id="12" xr3:uid="{00000000-0010-0000-0200-00000C000000}" name="SIMULIA" dataDxfId="34"/>
    <tableColumn id="13" xr3:uid="{00000000-0010-0000-0200-00000D000000}" name="SOLIDWORKS" dataDxfId="33"/>
    <tableColumn id="14" xr3:uid="{00000000-0010-0000-0200-00000E000000}" name="TECHNO" dataDxfId="32"/>
    <tableColumn id="15" xr3:uid="{00000000-0010-0000-0200-00000F000000}" name="V4R35-V4R39" dataDxfId="31"/>
    <tableColumn id="17" xr3:uid="{00000000-0010-0000-0200-000011000000}" name="V4R40-V4R43" dataDxfId="30"/>
    <tableColumn id="22" xr3:uid="{00000000-0010-0000-0200-000016000000}" name="V5R1-V5R3" dataDxfId="29"/>
    <tableColumn id="21" xr3:uid="{00000000-0010-0000-0200-000015000000}" name="V5R4 and after" dataDxfId="28"/>
    <tableColumn id="23" xr3:uid="{9E390E29-B941-4C63-B8CB-F5251EB23BA0}" name="OK / KO" dataDxfId="27"/>
    <tableColumn id="24" xr3:uid="{C23F0A6B-A5FB-4619-AD5C-1EC47C360411}" name="Comment" dataDxfId="26"/>
    <tableColumn id="25" xr3:uid="{19298DB5-764A-478E-B358-C2A05383FEB0}" name="rephrased questions" dataDxfId="25"/>
    <tableColumn id="26" xr3:uid="{369C3A22-AA24-4A5F-826A-0A367631911D}" name="AI REVIEW" dataDxfId="1"/>
    <tableColumn id="27" xr3:uid="{83659964-9729-4D07-9C86-1B4B3C26723A}" name="REASON" dataDxfId="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e2" displayName="Table2" ref="A2:M3" totalsRowShown="0" headerRowDxfId="24" dataDxfId="23">
  <autoFilter ref="A2:M3" xr:uid="{00000000-0009-0000-0100-000002000000}"/>
  <tableColumns count="13">
    <tableColumn id="9" xr3:uid="{00000000-0010-0000-0300-000009000000}" name="N°" dataDxfId="22"/>
    <tableColumn id="1" xr3:uid="{00000000-0010-0000-0300-000001000000}" name="Trigram" dataDxfId="21"/>
    <tableColumn id="11" xr3:uid="{00000000-0010-0000-0300-00000B000000}" name="PES Version" dataDxfId="20"/>
    <tableColumn id="2" xr3:uid="{00000000-0010-0000-0300-000002000000}" name="Part" dataDxfId="19"/>
    <tableColumn id="10" xr3:uid="{00000000-0010-0000-0300-00000A000000}" name="Date" dataDxfId="18"/>
    <tableColumn id="8" xr3:uid="{00000000-0010-0000-0300-000008000000}" name="Issue Type" dataDxfId="17"/>
    <tableColumn id="3" xr3:uid="{00000000-0010-0000-0300-000003000000}" name="Issue Found" dataDxfId="16"/>
    <tableColumn id="4" xr3:uid="{00000000-0010-0000-0300-000004000000}" name="Severity" dataDxfId="15"/>
    <tableColumn id="12" xr3:uid="{00000000-0010-0000-0300-00000C000000}" name="Answer" dataDxfId="14"/>
    <tableColumn id="5" xr3:uid="{00000000-0010-0000-0300-000005000000}" name="Comment" dataDxfId="13"/>
    <tableColumn id="6" xr3:uid="{00000000-0010-0000-0300-000006000000}" name="PES Updated" dataDxfId="12"/>
    <tableColumn id="13" xr3:uid="{00000000-0010-0000-0300-00000D000000}" name="Issue Status" dataDxfId="11"/>
    <tableColumn id="14" xr3:uid="{00000000-0010-0000-0300-00000E000000}" name="Additional Comments" dataDxfId="1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6" displayName="Table6" ref="A1:A14" totalsRowShown="0" headerRowDxfId="9" dataDxfId="8">
  <autoFilter ref="A1:A14" xr:uid="{00000000-0009-0000-0100-000006000000}"/>
  <tableColumns count="1">
    <tableColumn id="1" xr3:uid="{00000000-0010-0000-0400-000001000000}" name="Section" dataDxfId="7"/>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able4" displayName="Table4" ref="C1:C7" totalsRowShown="0" headerRowDxfId="6">
  <autoFilter ref="C1:C7" xr:uid="{00000000-0009-0000-0100-000004000000}"/>
  <tableColumns count="1">
    <tableColumn id="1" xr3:uid="{00000000-0010-0000-0500-000001000000}" name="Role"/>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E1:E9" totalsRowShown="0">
  <autoFilter ref="E1:E9" xr:uid="{00000000-0009-0000-0100-000007000000}"/>
  <tableColumns count="1">
    <tableColumn id="1" xr3:uid="{00000000-0010-0000-0600-000001000000}" name="Issue Type"/>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2AB2BF6-0DF2-4EC8-98FD-AF74E1C8E0CE}" name="Table3" displayName="Table3" ref="G1:G49" totalsRowShown="0" headerRowDxfId="5" dataDxfId="3" headerRowBorderDxfId="4">
  <autoFilter ref="G1:G49" xr:uid="{52AB2BF6-0DF2-4EC8-98FD-AF74E1C8E0CE}"/>
  <tableColumns count="1">
    <tableColumn id="1" xr3:uid="{C6F73C4F-990C-4C8E-970C-F6F32AC7B97B}" name="Drop-Down Review" dataDxfId="2"/>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sext001-eu1-215dsi0708-3dswym.3dexperience.3ds.com/community/swym:215dsi0708:DSEXT001:community:58?content=swym:215dsi0708:DSEXT001:wikitree:YysHPz1xRO-dl_NvQDK7QA" TargetMode="Externa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image" Target="../media/image1.png"/><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vmlDrawing" Target="../drawings/vmlDrawing2.v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vmlDrawing" Target="../drawings/vmlDrawing3.v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J71"/>
  <sheetViews>
    <sheetView zoomScale="148" zoomScaleNormal="148" workbookViewId="0">
      <selection activeCell="A2" sqref="A2"/>
    </sheetView>
  </sheetViews>
  <sheetFormatPr defaultRowHeight="15" x14ac:dyDescent="0.25"/>
  <cols>
    <col min="1" max="1" width="186.5703125" style="47" customWidth="1"/>
    <col min="2" max="16384" width="9.140625" style="47"/>
  </cols>
  <sheetData>
    <row r="1" spans="1:10" x14ac:dyDescent="0.25">
      <c r="A1" s="5" t="s">
        <v>185</v>
      </c>
    </row>
    <row r="2" spans="1:10" x14ac:dyDescent="0.25">
      <c r="A2" s="74" t="s">
        <v>129</v>
      </c>
    </row>
    <row r="3" spans="1:10" ht="18.75" x14ac:dyDescent="0.3">
      <c r="A3" s="3" t="s">
        <v>148</v>
      </c>
      <c r="B3" s="75"/>
      <c r="C3" s="75"/>
      <c r="D3" s="75"/>
      <c r="E3" s="75"/>
      <c r="F3" s="75"/>
      <c r="G3" s="75"/>
      <c r="H3" s="75"/>
      <c r="I3" s="75"/>
      <c r="J3" s="75"/>
    </row>
    <row r="4" spans="1:10" x14ac:dyDescent="0.25">
      <c r="A4" s="47" t="s">
        <v>186</v>
      </c>
    </row>
    <row r="24" spans="1:10" ht="18.75" x14ac:dyDescent="0.3">
      <c r="A24" s="3" t="s">
        <v>54</v>
      </c>
      <c r="B24" s="75"/>
      <c r="C24" s="75"/>
      <c r="D24" s="75"/>
      <c r="E24" s="75"/>
      <c r="F24" s="75"/>
      <c r="G24" s="75"/>
      <c r="H24" s="75"/>
      <c r="I24" s="75"/>
      <c r="J24" s="75"/>
    </row>
    <row r="25" spans="1:10" x14ac:dyDescent="0.25">
      <c r="A25" s="47" t="s">
        <v>187</v>
      </c>
    </row>
    <row r="44" spans="1:1" ht="18.75" x14ac:dyDescent="0.3">
      <c r="A44" s="3" t="s">
        <v>55</v>
      </c>
    </row>
    <row r="45" spans="1:1" x14ac:dyDescent="0.25">
      <c r="A45" s="47" t="s">
        <v>188</v>
      </c>
    </row>
    <row r="65" spans="1:1" ht="18.75" x14ac:dyDescent="0.3">
      <c r="A65" s="3" t="s">
        <v>56</v>
      </c>
    </row>
    <row r="66" spans="1:1" x14ac:dyDescent="0.25">
      <c r="A66" s="47" t="s">
        <v>189</v>
      </c>
    </row>
    <row r="71" spans="1:1" x14ac:dyDescent="0.25">
      <c r="A71" s="50"/>
    </row>
  </sheetData>
  <hyperlinks>
    <hyperlink ref="A2" r:id="rId1" xr:uid="{00000000-0004-0000-0000-000000000000}"/>
  </hyperlinks>
  <pageMargins left="0.7" right="0.7" top="0.75" bottom="0.75" header="0.3" footer="0.3"/>
  <pageSetup paperSize="9" orientation="portrait" r:id="rId2"/>
  <drawing r:id="rId3"/>
  <picture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B1:F17"/>
  <sheetViews>
    <sheetView zoomScaleNormal="100" workbookViewId="0">
      <selection activeCell="C5" sqref="C5:F5"/>
    </sheetView>
  </sheetViews>
  <sheetFormatPr defaultRowHeight="15" x14ac:dyDescent="0.25"/>
  <cols>
    <col min="1" max="1" width="1.42578125" style="47" customWidth="1"/>
    <col min="2" max="2" width="20.5703125" style="47" bestFit="1" customWidth="1"/>
    <col min="3" max="3" width="29.42578125" style="47" customWidth="1"/>
    <col min="4" max="4" width="15" style="47" customWidth="1"/>
    <col min="5" max="5" width="20.5703125" style="47" customWidth="1"/>
    <col min="6" max="6" width="19" style="47" customWidth="1"/>
    <col min="7" max="11" width="9.140625" style="47"/>
    <col min="12" max="12" width="79.5703125" style="47" customWidth="1"/>
    <col min="13" max="16" width="35.5703125" style="47" customWidth="1"/>
    <col min="17" max="17" width="10.42578125" style="47" customWidth="1"/>
    <col min="18" max="18" width="14.85546875" style="47" customWidth="1"/>
    <col min="19" max="19" width="14.28515625" style="47" customWidth="1"/>
    <col min="20" max="16384" width="9.140625" style="47"/>
  </cols>
  <sheetData>
    <row r="1" spans="2:6" ht="15.75" thickBot="1" x14ac:dyDescent="0.3"/>
    <row r="2" spans="2:6" x14ac:dyDescent="0.25">
      <c r="B2" s="103" t="s">
        <v>57</v>
      </c>
      <c r="C2" s="104"/>
      <c r="D2" s="104"/>
      <c r="E2" s="104"/>
      <c r="F2" s="105"/>
    </row>
    <row r="3" spans="2:6" x14ac:dyDescent="0.25">
      <c r="B3" s="62" t="s">
        <v>112</v>
      </c>
      <c r="C3" s="106"/>
      <c r="D3" s="106"/>
      <c r="E3" s="106"/>
      <c r="F3" s="107"/>
    </row>
    <row r="4" spans="2:6" x14ac:dyDescent="0.25">
      <c r="B4" s="62" t="s">
        <v>124</v>
      </c>
      <c r="C4" s="108" t="s">
        <v>184</v>
      </c>
      <c r="D4" s="109"/>
      <c r="E4" s="109"/>
      <c r="F4" s="110"/>
    </row>
    <row r="5" spans="2:6" x14ac:dyDescent="0.25">
      <c r="B5" s="62" t="s">
        <v>0</v>
      </c>
      <c r="C5" s="106"/>
      <c r="D5" s="106"/>
      <c r="E5" s="106"/>
      <c r="F5" s="107"/>
    </row>
    <row r="6" spans="2:6" ht="15.75" thickBot="1" x14ac:dyDescent="0.3">
      <c r="B6" s="63" t="s">
        <v>1</v>
      </c>
      <c r="C6" s="111"/>
      <c r="D6" s="111"/>
      <c r="E6" s="111"/>
      <c r="F6" s="112"/>
    </row>
    <row r="7" spans="2:6" ht="15.75" thickBot="1" x14ac:dyDescent="0.3"/>
    <row r="8" spans="2:6" x14ac:dyDescent="0.25">
      <c r="B8" s="103" t="s">
        <v>20</v>
      </c>
      <c r="C8" s="104"/>
      <c r="D8" s="104"/>
      <c r="E8" s="104"/>
      <c r="F8" s="105"/>
    </row>
    <row r="9" spans="2:6" x14ac:dyDescent="0.25">
      <c r="B9" s="113" t="s">
        <v>123</v>
      </c>
      <c r="C9" s="114"/>
      <c r="D9" s="64" t="s">
        <v>22</v>
      </c>
      <c r="E9" s="64" t="s">
        <v>21</v>
      </c>
      <c r="F9" s="65" t="s">
        <v>8</v>
      </c>
    </row>
    <row r="10" spans="2:6" x14ac:dyDescent="0.25">
      <c r="B10" s="101" t="s">
        <v>6</v>
      </c>
      <c r="C10" s="102"/>
      <c r="D10" s="66">
        <f>COUNTIFS(Table2[Severity],$B10,Table2[Issue Status],D$9)+COUNTIFS(Table2[Severity],$B10,Table2[Issue Status],"")</f>
        <v>0</v>
      </c>
      <c r="E10" s="66">
        <f>COUNTIFS(Table2[Severity],$B10,Table2[Issue Status],E$9)</f>
        <v>0</v>
      </c>
      <c r="F10" s="67">
        <f>SUM(D10:E10)</f>
        <v>0</v>
      </c>
    </row>
    <row r="11" spans="2:6" x14ac:dyDescent="0.25">
      <c r="B11" s="101" t="s">
        <v>29</v>
      </c>
      <c r="C11" s="102"/>
      <c r="D11" s="66">
        <f>COUNTIFS(Table2[Severity],$B11,Table2[Issue Status],D$9)+COUNTIFS(Table2[Severity],$B11,Table2[Issue Status],"")</f>
        <v>0</v>
      </c>
      <c r="E11" s="66">
        <f>COUNTIFS(Table2[Severity],$B11,Table2[Issue Status],E$9)</f>
        <v>0</v>
      </c>
      <c r="F11" s="67">
        <f>SUM(D11:E11)</f>
        <v>0</v>
      </c>
    </row>
    <row r="12" spans="2:6" x14ac:dyDescent="0.25">
      <c r="B12" s="101" t="s">
        <v>7</v>
      </c>
      <c r="C12" s="102"/>
      <c r="D12" s="66">
        <f>COUNTIFS(Table2[Severity],$B12,Table2[Issue Status],D$9)+COUNTIFS(Table2[Severity],$B12,Table2[Issue Status],"")</f>
        <v>0</v>
      </c>
      <c r="E12" s="66">
        <f>COUNTIFS(Table2[Severity],$B12,Table2[Issue Status],E$9)</f>
        <v>0</v>
      </c>
      <c r="F12" s="67">
        <f>SUM(D12:E12)</f>
        <v>0</v>
      </c>
    </row>
    <row r="13" spans="2:6" ht="15.75" thickBot="1" x14ac:dyDescent="0.3">
      <c r="B13" s="97" t="s">
        <v>8</v>
      </c>
      <c r="C13" s="98"/>
      <c r="D13" s="68">
        <f>SUM(D10:D12)</f>
        <v>0</v>
      </c>
      <c r="E13" s="68">
        <f>SUM(E10:E12)</f>
        <v>0</v>
      </c>
      <c r="F13" s="69">
        <f>SUM(F10:F12)</f>
        <v>0</v>
      </c>
    </row>
    <row r="14" spans="2:6" ht="15.75" thickBot="1" x14ac:dyDescent="0.3"/>
    <row r="15" spans="2:6" x14ac:dyDescent="0.25">
      <c r="B15" s="99" t="s">
        <v>2</v>
      </c>
      <c r="C15" s="100"/>
      <c r="D15" s="100"/>
      <c r="E15" s="100"/>
      <c r="F15" s="100"/>
    </row>
    <row r="16" spans="2:6" x14ac:dyDescent="0.25">
      <c r="B16" s="9" t="s">
        <v>3</v>
      </c>
      <c r="C16" s="10" t="s">
        <v>4</v>
      </c>
      <c r="D16" s="10" t="s">
        <v>5</v>
      </c>
      <c r="E16" s="10" t="s">
        <v>2</v>
      </c>
      <c r="F16" s="11" t="s">
        <v>9</v>
      </c>
    </row>
    <row r="17" spans="2:6" x14ac:dyDescent="0.25">
      <c r="B17" s="70"/>
      <c r="C17" s="71"/>
      <c r="D17" s="72"/>
      <c r="E17" s="8"/>
      <c r="F17" s="73"/>
    </row>
  </sheetData>
  <protectedRanges>
    <protectedRange sqref="B17:F60" name="PESReviewStatus"/>
    <protectedRange sqref="C3:F6" name="PESInformation"/>
  </protectedRanges>
  <dataConsolidate/>
  <mergeCells count="12">
    <mergeCell ref="B13:C13"/>
    <mergeCell ref="B15:F15"/>
    <mergeCell ref="B12:C12"/>
    <mergeCell ref="B2:F2"/>
    <mergeCell ref="C3:F3"/>
    <mergeCell ref="C4:F4"/>
    <mergeCell ref="C5:F5"/>
    <mergeCell ref="C6:F6"/>
    <mergeCell ref="B8:F8"/>
    <mergeCell ref="B9:C9"/>
    <mergeCell ref="B10:C10"/>
    <mergeCell ref="B11:C11"/>
  </mergeCells>
  <conditionalFormatting sqref="E17">
    <cfRule type="expression" dxfId="74" priority="3">
      <formula>($E17="GO")</formula>
    </cfRule>
    <cfRule type="expression" dxfId="73" priority="4">
      <formula>($E17="GO IF")</formula>
    </cfRule>
    <cfRule type="expression" dxfId="72" priority="5">
      <formula>($E17="NO GO")</formula>
    </cfRule>
  </conditionalFormatting>
  <dataValidations count="5">
    <dataValidation type="list" allowBlank="1" showInputMessage="1" showErrorMessage="1" sqref="C3:F3" xr:uid="{00000000-0002-0000-0100-000001000000}">
      <formula1>"3DEXCITE,3DEXPERIENCE,BIOVIA,CATIA,DELMIA,ENOVIA,GEOVIA,QUINTIQ,R&amp;D INDUSTRY,SIMULIA,SOLIDWORKS,TECHNO"</formula1>
    </dataValidation>
    <dataValidation type="list" allowBlank="1" showInputMessage="1" showErrorMessage="1" sqref="C17" xr:uid="{00000000-0002-0000-0100-000002000000}">
      <formula1>Role</formula1>
    </dataValidation>
    <dataValidation type="list" allowBlank="1" showInputMessage="1" showErrorMessage="1" sqref="E9" xr:uid="{00000000-0002-0000-0100-000003000000}">
      <formula1>"Open,Closed"</formula1>
    </dataValidation>
    <dataValidation type="list" allowBlank="1" showInputMessage="1" showErrorMessage="1" sqref="E17" xr:uid="{00000000-0002-0000-0100-000004000000}">
      <formula1>"GO,NO GO,GO IF"</formula1>
    </dataValidation>
    <dataValidation type="list" allowBlank="1" showInputMessage="1" showErrorMessage="1" sqref="C4:F4" xr:uid="{BBDD8BC4-32E9-43B1-888E-D3DEBE646DE6}">
      <formula1>PES_Version</formula1>
    </dataValidation>
  </dataValidations>
  <pageMargins left="0.7" right="0.7" top="0.75" bottom="0.75" header="0.3" footer="0.3"/>
  <pageSetup paperSize="9" orientation="portrait" r:id="rId1"/>
  <legacyDrawing r:id="rId2"/>
  <picture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P102"/>
  <sheetViews>
    <sheetView zoomScale="90" zoomScaleNormal="90" workbookViewId="0">
      <pane ySplit="2" topLeftCell="A3" activePane="bottomLeft" state="frozen"/>
      <selection pane="bottomLeft" activeCell="K8" sqref="K8"/>
    </sheetView>
  </sheetViews>
  <sheetFormatPr defaultRowHeight="14.25" customHeight="1" x14ac:dyDescent="0.25"/>
  <cols>
    <col min="2" max="2" width="65.42578125" bestFit="1" customWidth="1"/>
    <col min="3" max="3" width="10.5703125" style="7" hidden="1" customWidth="1"/>
    <col min="4" max="4" width="74.42578125" style="7" hidden="1" customWidth="1"/>
    <col min="5" max="6" width="18" style="88" hidden="1" customWidth="1"/>
    <col min="7" max="7" width="16" style="88" hidden="1" customWidth="1"/>
    <col min="8" max="8" width="19.140625" style="88" hidden="1" customWidth="1"/>
    <col min="9" max="9" width="11.140625" style="23" bestFit="1" customWidth="1"/>
    <col min="10" max="10" width="13.42578125" style="23" bestFit="1" customWidth="1"/>
    <col min="11" max="11" width="17" style="23" bestFit="1" customWidth="1"/>
    <col min="12" max="12" width="9.140625" style="7"/>
    <col min="13" max="13" width="35.5703125" customWidth="1"/>
    <col min="14" max="16" width="35.5703125" style="7" customWidth="1"/>
    <col min="17" max="17" width="10.42578125" customWidth="1"/>
    <col min="18" max="18" width="14.85546875" customWidth="1"/>
    <col min="19" max="19" width="14.28515625" customWidth="1"/>
  </cols>
  <sheetData>
    <row r="1" spans="2:11" ht="14.25" customHeight="1" x14ac:dyDescent="0.25">
      <c r="B1" s="115" t="s">
        <v>126</v>
      </c>
      <c r="C1" s="116"/>
      <c r="D1" s="116" t="s">
        <v>126</v>
      </c>
      <c r="E1" s="116"/>
      <c r="F1" s="116"/>
      <c r="G1" s="116"/>
      <c r="H1" s="116"/>
      <c r="I1" s="117" t="s">
        <v>126</v>
      </c>
      <c r="J1" s="117" t="s">
        <v>126</v>
      </c>
      <c r="K1" s="118" t="s">
        <v>126</v>
      </c>
    </row>
    <row r="2" spans="2:11" ht="14.25" customHeight="1" x14ac:dyDescent="0.25">
      <c r="B2" s="24" t="s">
        <v>146</v>
      </c>
      <c r="C2" s="1" t="s">
        <v>145</v>
      </c>
      <c r="D2" s="14" t="s">
        <v>144</v>
      </c>
      <c r="E2" s="83" t="s">
        <v>125</v>
      </c>
      <c r="F2" s="83" t="s">
        <v>143</v>
      </c>
      <c r="G2" s="84" t="s">
        <v>183</v>
      </c>
      <c r="H2" s="84" t="s">
        <v>184</v>
      </c>
      <c r="I2" s="18" t="s">
        <v>128</v>
      </c>
      <c r="J2" s="18" t="s">
        <v>138</v>
      </c>
      <c r="K2" s="25" t="s">
        <v>139</v>
      </c>
    </row>
    <row r="3" spans="2:11" ht="14.25" customHeight="1" x14ac:dyDescent="0.25">
      <c r="B3" s="26" t="s">
        <v>8</v>
      </c>
      <c r="C3" s="12" t="s">
        <v>11</v>
      </c>
      <c r="D3" s="15"/>
      <c r="E3" s="85" t="s">
        <v>122</v>
      </c>
      <c r="F3" s="85" t="s">
        <v>122</v>
      </c>
      <c r="G3" s="85" t="s">
        <v>122</v>
      </c>
      <c r="H3" s="85" t="s">
        <v>122</v>
      </c>
      <c r="I3" s="19">
        <f ca="1">SUM(I4:I102)</f>
        <v>84</v>
      </c>
      <c r="J3" s="43">
        <f ca="1">SUM(J4:J102)</f>
        <v>0</v>
      </c>
      <c r="K3" s="27">
        <f ca="1">IF(Table21[[#This Row],['#item]]=0,1,(Table21[[#This Row],['#checked]]/Table21[[#This Row],['#item]]))</f>
        <v>0</v>
      </c>
    </row>
    <row r="4" spans="2:11" ht="14.25" customHeight="1" x14ac:dyDescent="0.25">
      <c r="B4" s="28" t="s">
        <v>35</v>
      </c>
      <c r="C4" s="16"/>
      <c r="D4" s="16" t="str">
        <f>CONCATENATE(B4," Checked")</f>
        <v>PES General Information Checked</v>
      </c>
      <c r="E4" s="86" t="s">
        <v>122</v>
      </c>
      <c r="F4" s="86" t="s">
        <v>122</v>
      </c>
      <c r="G4" s="86" t="s">
        <v>122</v>
      </c>
      <c r="H4" s="86" t="s">
        <v>122</v>
      </c>
      <c r="I4" s="40">
        <f ca="1">IF(AND(Table21[[#This Row],[Type]]="Section",SUMPRODUCT(SUBTOTAL(103,OFFSET(Table42[PES Section],ROW(Table42[Part])-ROW(CheckList!$C$3),0,1)),--(Table42[PES Section]=B4))=0),"",SUMPRODUCT(SUBTOTAL(103,OFFSET(Table42[Part],ROW(Table42[Part])-ROW(CheckList!$C$3),0,1)),--(Table42[Part]=B4)))</f>
        <v>0</v>
      </c>
      <c r="J4" s="20">
        <f ca="1">IF(AND(Table21[[#This Row],[Type]]="Section",SUMPRODUCT(SUBTOTAL(103,OFFSET(Table42[Part],ROW(Table42[Part])-ROW(CheckList!$C$3),0,1)),--(Table42[Part]=B4))=0),"",SUMPRODUCT(SUBTOTAL(103,OFFSET(Table42[Part],ROW(Table42[Part])-ROW(CheckList!$C$3),0,1)),--(Table42[Column1]=D4)))</f>
        <v>0</v>
      </c>
      <c r="K4" s="29">
        <f ca="1">IF(AND(Table21[[#This Row],[Type]]="Section",SUMPRODUCT(SUBTOTAL(103,OFFSET(Table42[Part],ROW(Table42[Part])-ROW(CheckList!$C$3),0,1)),--(Table42[Part]=B4))=0),"",IF(I4=0,1,(J4/I4)))</f>
        <v>1</v>
      </c>
    </row>
    <row r="5" spans="2:11" ht="14.25" customHeight="1" x14ac:dyDescent="0.25">
      <c r="B5" s="28" t="s">
        <v>37</v>
      </c>
      <c r="C5" s="16"/>
      <c r="D5" s="16" t="str">
        <f t="shared" ref="D5:D68" si="0">CONCATENATE(B5," Checked")</f>
        <v>Table of Contents Checked</v>
      </c>
      <c r="E5" s="86" t="s">
        <v>122</v>
      </c>
      <c r="F5" s="86" t="s">
        <v>122</v>
      </c>
      <c r="G5" s="86" t="s">
        <v>122</v>
      </c>
      <c r="H5" s="86" t="s">
        <v>122</v>
      </c>
      <c r="I5" s="40">
        <f ca="1">IF(AND(Table21[[#This Row],[Type]]="Section",SUMPRODUCT(SUBTOTAL(103,OFFSET(Table42[PES Section],ROW(Table42[Part])-ROW(CheckList!$C$3),0,1)),--(Table42[PES Section]=B5))=0),"",SUMPRODUCT(SUBTOTAL(103,OFFSET(Table42[Part],ROW(Table42[Part])-ROW(CheckList!$C$3),0,1)),--(Table42[Part]=B5)))</f>
        <v>2</v>
      </c>
      <c r="J5" s="20">
        <f ca="1">IF(AND(Table21[[#This Row],[Type]]="Section",SUMPRODUCT(SUBTOTAL(103,OFFSET(Table42[Part],ROW(Table42[Part])-ROW(CheckList!$C$3),0,1)),--(Table42[Part]=B5))=0),"",SUMPRODUCT(SUBTOTAL(103,OFFSET(Table42[Part],ROW(Table42[Part])-ROW(CheckList!$C$3),0,1)),--(Table42[Column1]=D5)))</f>
        <v>0</v>
      </c>
      <c r="K5" s="29">
        <f ca="1">IF(AND(Table21[[#This Row],[Type]]="Section",SUMPRODUCT(SUBTOTAL(103,OFFSET(Table42[Part],ROW(Table42[Part])-ROW(CheckList!$C$3),0,1)),--(Table42[Part]=B5))=0),"",IF(I5=0,1,(J5/I5)))</f>
        <v>0</v>
      </c>
    </row>
    <row r="6" spans="2:11" ht="14.25" customHeight="1" x14ac:dyDescent="0.25">
      <c r="B6" s="28" t="s">
        <v>47</v>
      </c>
      <c r="C6" s="16"/>
      <c r="D6" s="16" t="str">
        <f t="shared" si="0"/>
        <v>Other Checked</v>
      </c>
      <c r="E6" s="86" t="s">
        <v>122</v>
      </c>
      <c r="F6" s="86" t="s">
        <v>122</v>
      </c>
      <c r="G6" s="86" t="s">
        <v>122</v>
      </c>
      <c r="H6" s="86" t="s">
        <v>122</v>
      </c>
      <c r="I6" s="40">
        <f ca="1">IF(AND(Table21[[#This Row],[Type]]="Section",SUMPRODUCT(SUBTOTAL(103,OFFSET(Table42[PES Section],ROW(Table42[Part])-ROW(CheckList!$C$3),0,1)),--(Table42[PES Section]=B6))=0),"",SUMPRODUCT(SUBTOTAL(103,OFFSET(Table42[Part],ROW(Table42[Part])-ROW(CheckList!$C$3),0,1)),--(Table42[Part]=B6)))</f>
        <v>0</v>
      </c>
      <c r="J6" s="20">
        <f ca="1">IF(AND(Table21[[#This Row],[Type]]="Section",SUMPRODUCT(SUBTOTAL(103,OFFSET(Table42[Part],ROW(Table42[Part])-ROW(CheckList!$C$3),0,1)),--(Table42[Part]=B6))=0),"",SUMPRODUCT(SUBTOTAL(103,OFFSET(Table42[Part],ROW(Table42[Part])-ROW(CheckList!$C$3),0,1)),--(Table42[Column1]=D6)))</f>
        <v>0</v>
      </c>
      <c r="K6" s="29">
        <f ca="1">IF(AND(Table21[[#This Row],[Type]]="Section",SUMPRODUCT(SUBTOTAL(103,OFFSET(Table42[Part],ROW(Table42[Part])-ROW(CheckList!$C$3),0,1)),--(Table42[Part]=B6))=0),"",IF(I6=0,1,(J6/I6)))</f>
        <v>1</v>
      </c>
    </row>
    <row r="7" spans="2:11" s="7" customFormat="1" ht="14.25" customHeight="1" x14ac:dyDescent="0.25">
      <c r="B7" s="30" t="s">
        <v>193</v>
      </c>
      <c r="C7" s="12" t="s">
        <v>11</v>
      </c>
      <c r="D7" s="12" t="str">
        <f t="shared" si="0"/>
        <v>Section 1. High-Level specifications Checked</v>
      </c>
      <c r="E7" s="12"/>
      <c r="F7" s="12"/>
      <c r="G7" s="12" t="s">
        <v>122</v>
      </c>
      <c r="H7" s="12" t="s">
        <v>122</v>
      </c>
      <c r="I7" s="44"/>
      <c r="J7" s="22"/>
      <c r="K7" s="31"/>
    </row>
    <row r="8" spans="2:11" s="7" customFormat="1" ht="14.25" customHeight="1" x14ac:dyDescent="0.25">
      <c r="B8" s="28" t="s">
        <v>149</v>
      </c>
      <c r="C8" s="16"/>
      <c r="D8" s="16" t="str">
        <f t="shared" si="0"/>
        <v>Section 1 - 1 Related requirement(s) Checked</v>
      </c>
      <c r="E8" s="86"/>
      <c r="F8" s="86"/>
      <c r="G8" s="86" t="s">
        <v>122</v>
      </c>
      <c r="H8" s="86" t="s">
        <v>122</v>
      </c>
      <c r="I8" s="40">
        <f ca="1">IF(AND(Table21[[#This Row],[Type]]="Section",SUMPRODUCT(SUBTOTAL(103,OFFSET(Table42[PES Section],ROW(Table42[Part])-ROW(CheckList!$C$3),0,1)),--(Table42[PES Section]=B8))=0),"",SUMPRODUCT(SUBTOTAL(103,OFFSET(Table42[Part],ROW(Table42[Part])-ROW(CheckList!$C$3),0,1)),--(Table42[Part]=B8)))</f>
        <v>1</v>
      </c>
      <c r="J8" s="20">
        <f ca="1">IF(AND(Table21[[#This Row],[Type]]="Section",SUMPRODUCT(SUBTOTAL(103,OFFSET(Table42[Part],ROW(Table42[Part])-ROW(CheckList!$C$3),0,1)),--(Table42[Part]=B8))=0),"",SUMPRODUCT(SUBTOTAL(103,OFFSET(Table42[Part],ROW(Table42[Part])-ROW(CheckList!$C$3),0,1)),--(Table42[Column1]=D8)))</f>
        <v>0</v>
      </c>
      <c r="K8" s="29">
        <f ca="1">IF(AND(Table21[[#This Row],[Type]]="Section",SUMPRODUCT(SUBTOTAL(103,OFFSET(Table42[Part],ROW(Table42[Part])-ROW(CheckList!$C$3),0,1)),--(Table42[Part]=B8))=0),"",IF(I8=0,1,(J8/I8)))</f>
        <v>0</v>
      </c>
    </row>
    <row r="9" spans="2:11" s="7" customFormat="1" ht="14.25" customHeight="1" x14ac:dyDescent="0.25">
      <c r="B9" s="28" t="s">
        <v>200</v>
      </c>
      <c r="C9" s="16"/>
      <c r="D9" s="16" t="str">
        <f t="shared" si="0"/>
        <v>Section 1 - 2 What will the customer use this for Checked</v>
      </c>
      <c r="E9" s="86"/>
      <c r="F9" s="86"/>
      <c r="G9" s="86" t="s">
        <v>122</v>
      </c>
      <c r="H9" s="86" t="s">
        <v>122</v>
      </c>
      <c r="I9" s="40">
        <f ca="1">IF(AND(Table21[[#This Row],[Type]]="Section",SUMPRODUCT(SUBTOTAL(103,OFFSET(Table42[PES Section],ROW(Table42[Part])-ROW(CheckList!$C$3),0,1)),--(Table42[PES Section]=B9))=0),"",SUMPRODUCT(SUBTOTAL(103,OFFSET(Table42[Part],ROW(Table42[Part])-ROW(CheckList!$C$3),0,1)),--(Table42[Part]=B9)))</f>
        <v>2</v>
      </c>
      <c r="J9" s="20">
        <f ca="1">IF(AND(Table21[[#This Row],[Type]]="Section",SUMPRODUCT(SUBTOTAL(103,OFFSET(Table42[Part],ROW(Table42[Part])-ROW(CheckList!$C$3),0,1)),--(Table42[Part]=B9))=0),"",SUMPRODUCT(SUBTOTAL(103,OFFSET(Table42[Part],ROW(Table42[Part])-ROW(CheckList!$C$3),0,1)),--(Table42[Column1]=D9)))</f>
        <v>0</v>
      </c>
      <c r="K9" s="29">
        <f ca="1">IF(AND(Table21[[#This Row],[Type]]="Section",SUMPRODUCT(SUBTOTAL(103,OFFSET(Table42[Part],ROW(Table42[Part])-ROW(CheckList!$C$3),0,1)),--(Table42[Part]=B9))=0),"",IF(I9=0,1,(J9/I9)))</f>
        <v>0</v>
      </c>
    </row>
    <row r="10" spans="2:11" s="7" customFormat="1" ht="13.5" customHeight="1" x14ac:dyDescent="0.25">
      <c r="B10" s="28" t="s">
        <v>201</v>
      </c>
      <c r="C10" s="16"/>
      <c r="D10" s="16" t="str">
        <f t="shared" si="0"/>
        <v>Section 1 - 3 What the function will do Checked</v>
      </c>
      <c r="E10" s="86"/>
      <c r="F10" s="86"/>
      <c r="G10" s="86" t="s">
        <v>122</v>
      </c>
      <c r="H10" s="86" t="s">
        <v>122</v>
      </c>
      <c r="I10" s="40">
        <f ca="1">IF(AND(Table21[[#This Row],[Type]]="Section",SUMPRODUCT(SUBTOTAL(103,OFFSET(Table42[PES Section],ROW(Table42[Part])-ROW(CheckList!$C$3),0,1)),--(Table42[PES Section]=B10))=0),"",SUMPRODUCT(SUBTOTAL(103,OFFSET(Table42[Part],ROW(Table42[Part])-ROW(CheckList!$C$3),0,1)),--(Table42[Part]=B10)))</f>
        <v>2</v>
      </c>
      <c r="J10" s="20">
        <f ca="1">IF(AND(Table21[[#This Row],[Type]]="Section",SUMPRODUCT(SUBTOTAL(103,OFFSET(Table42[Part],ROW(Table42[Part])-ROW(CheckList!$C$3),0,1)),--(Table42[Part]=B10))=0),"",SUMPRODUCT(SUBTOTAL(103,OFFSET(Table42[Part],ROW(Table42[Part])-ROW(CheckList!$C$3),0,1)),--(Table42[Column1]=D10)))</f>
        <v>0</v>
      </c>
      <c r="K10" s="29">
        <f ca="1">IF(AND(Table21[[#This Row],[Type]]="Section",SUMPRODUCT(SUBTOTAL(103,OFFSET(Table42[Part],ROW(Table42[Part])-ROW(CheckList!$C$3),0,1)),--(Table42[Part]=B10))=0),"",IF(I10=0,1,(J10/I10)))</f>
        <v>0</v>
      </c>
    </row>
    <row r="11" spans="2:11" s="7" customFormat="1" ht="14.25" customHeight="1" x14ac:dyDescent="0.25">
      <c r="B11" s="46" t="s">
        <v>150</v>
      </c>
      <c r="C11" s="16"/>
      <c r="D11" s="16" t="str">
        <f t="shared" si="0"/>
        <v>Section 1 - 3.1 Concepts Checked</v>
      </c>
      <c r="E11" s="86"/>
      <c r="F11" s="86"/>
      <c r="G11" s="86" t="s">
        <v>122</v>
      </c>
      <c r="H11" s="86" t="s">
        <v>122</v>
      </c>
      <c r="I11" s="40">
        <f ca="1">IF(AND(Table21[[#This Row],[Type]]="Section",SUMPRODUCT(SUBTOTAL(103,OFFSET(Table42[PES Section],ROW(Table42[Part])-ROW(CheckList!$C$3),0,1)),--(Table42[PES Section]=B11))=0),"",SUMPRODUCT(SUBTOTAL(103,OFFSET(Table42[Part],ROW(Table42[Part])-ROW(CheckList!$C$3),0,1)),--(Table42[Part]=B11)))</f>
        <v>4</v>
      </c>
      <c r="J11" s="20">
        <f ca="1">IF(AND(Table21[[#This Row],[Type]]="Section",SUMPRODUCT(SUBTOTAL(103,OFFSET(Table42[Part],ROW(Table42[Part])-ROW(CheckList!$C$3),0,1)),--(Table42[Part]=B11))=0),"",SUMPRODUCT(SUBTOTAL(103,OFFSET(Table42[Part],ROW(Table42[Part])-ROW(CheckList!$C$3),0,1)),--(Table42[Column1]=D11)))</f>
        <v>0</v>
      </c>
      <c r="K11" s="29">
        <f ca="1">IF(AND(Table21[[#This Row],[Type]]="Section",SUMPRODUCT(SUBTOTAL(103,OFFSET(Table42[Part],ROW(Table42[Part])-ROW(CheckList!$C$3),0,1)),--(Table42[Part]=B11))=0),"",IF(I11=0,1,(J11/I11)))</f>
        <v>0</v>
      </c>
    </row>
    <row r="12" spans="2:11" s="7" customFormat="1" ht="14.25" customHeight="1" x14ac:dyDescent="0.25">
      <c r="B12" s="46" t="s">
        <v>151</v>
      </c>
      <c r="C12" s="16"/>
      <c r="D12" s="16" t="str">
        <f t="shared" si="0"/>
        <v>Section 1 - 3.2 Function capabilities overview Checked</v>
      </c>
      <c r="E12" s="86"/>
      <c r="F12" s="86"/>
      <c r="G12" s="86" t="s">
        <v>122</v>
      </c>
      <c r="H12" s="86" t="s">
        <v>122</v>
      </c>
      <c r="I12" s="40">
        <f ca="1">IF(AND(Table21[[#This Row],[Type]]="Section",SUMPRODUCT(SUBTOTAL(103,OFFSET(Table42[PES Section],ROW(Table42[Part])-ROW(CheckList!$C$3),0,1)),--(Table42[PES Section]=B12))=0),"",SUMPRODUCT(SUBTOTAL(103,OFFSET(Table42[Part],ROW(Table42[Part])-ROW(CheckList!$C$3),0,1)),--(Table42[Part]=B12)))</f>
        <v>3</v>
      </c>
      <c r="J12" s="20">
        <f ca="1">IF(AND(Table21[[#This Row],[Type]]="Section",SUMPRODUCT(SUBTOTAL(103,OFFSET(Table42[Part],ROW(Table42[Part])-ROW(CheckList!$C$3),0,1)),--(Table42[Part]=B12))=0),"",SUMPRODUCT(SUBTOTAL(103,OFFSET(Table42[Part],ROW(Table42[Part])-ROW(CheckList!$C$3),0,1)),--(Table42[Column1]=D12)))</f>
        <v>0</v>
      </c>
      <c r="K12" s="29">
        <f ca="1">IF(AND(Table21[[#This Row],[Type]]="Section",SUMPRODUCT(SUBTOTAL(103,OFFSET(Table42[Part],ROW(Table42[Part])-ROW(CheckList!$C$3),0,1)),--(Table42[Part]=B12))=0),"",IF(I12=0,1,(J12/I12)))</f>
        <v>0</v>
      </c>
    </row>
    <row r="13" spans="2:11" s="7" customFormat="1" ht="14.25" customHeight="1" x14ac:dyDescent="0.25">
      <c r="B13" s="46" t="s">
        <v>152</v>
      </c>
      <c r="C13" s="16"/>
      <c r="D13" s="16" t="str">
        <f t="shared" si="0"/>
        <v>Section 1 - 3.3 Limitations Checked</v>
      </c>
      <c r="E13" s="86"/>
      <c r="F13" s="86"/>
      <c r="G13" s="86" t="s">
        <v>122</v>
      </c>
      <c r="H13" s="86" t="s">
        <v>122</v>
      </c>
      <c r="I13" s="40">
        <f ca="1">IF(AND(Table21[[#This Row],[Type]]="Section",SUMPRODUCT(SUBTOTAL(103,OFFSET(Table42[PES Section],ROW(Table42[Part])-ROW(CheckList!$C$3),0,1)),--(Table42[PES Section]=B13))=0),"",SUMPRODUCT(SUBTOTAL(103,OFFSET(Table42[Part],ROW(Table42[Part])-ROW(CheckList!$C$3),0,1)),--(Table42[Part]=B13)))</f>
        <v>8</v>
      </c>
      <c r="J13" s="20">
        <f ca="1">IF(AND(Table21[[#This Row],[Type]]="Section",SUMPRODUCT(SUBTOTAL(103,OFFSET(Table42[Part],ROW(Table42[Part])-ROW(CheckList!$C$3),0,1)),--(Table42[Part]=B13))=0),"",SUMPRODUCT(SUBTOTAL(103,OFFSET(Table42[Part],ROW(Table42[Part])-ROW(CheckList!$C$3),0,1)),--(Table42[Column1]=D13)))</f>
        <v>0</v>
      </c>
      <c r="K13" s="29">
        <f ca="1">IF(AND(Table21[[#This Row],[Type]]="Section",SUMPRODUCT(SUBTOTAL(103,OFFSET(Table42[Part],ROW(Table42[Part])-ROW(CheckList!$C$3),0,1)),--(Table42[Part]=B13))=0),"",IF(I13=0,1,(J13/I13)))</f>
        <v>0</v>
      </c>
    </row>
    <row r="14" spans="2:11" s="7" customFormat="1" ht="14.25" customHeight="1" x14ac:dyDescent="0.25">
      <c r="B14" s="28" t="s">
        <v>202</v>
      </c>
      <c r="C14" s="16"/>
      <c r="D14" s="16" t="str">
        <f t="shared" si="0"/>
        <v>Section 1 - 4 What the function will not do Checked</v>
      </c>
      <c r="E14" s="86"/>
      <c r="F14" s="86"/>
      <c r="G14" s="86" t="s">
        <v>122</v>
      </c>
      <c r="H14" s="86" t="s">
        <v>122</v>
      </c>
      <c r="I14" s="40">
        <f ca="1">IF(AND(Table21[[#This Row],[Type]]="Section",SUMPRODUCT(SUBTOTAL(103,OFFSET(Table42[PES Section],ROW(Table42[Part])-ROW(CheckList!$C$3),0,1)),--(Table42[PES Section]=B14))=0),"",SUMPRODUCT(SUBTOTAL(103,OFFSET(Table42[Part],ROW(Table42[Part])-ROW(CheckList!$C$3),0,1)),--(Table42[Part]=B14)))</f>
        <v>1</v>
      </c>
      <c r="J14" s="20">
        <f ca="1">IF(AND(Table21[[#This Row],[Type]]="Section",SUMPRODUCT(SUBTOTAL(103,OFFSET(Table42[Part],ROW(Table42[Part])-ROW(CheckList!$C$3),0,1)),--(Table42[Part]=B14))=0),"",SUMPRODUCT(SUBTOTAL(103,OFFSET(Table42[Part],ROW(Table42[Part])-ROW(CheckList!$C$3),0,1)),--(Table42[Column1]=D14)))</f>
        <v>0</v>
      </c>
      <c r="K14" s="29">
        <f ca="1">IF(AND(Table21[[#This Row],[Type]]="Section",SUMPRODUCT(SUBTOTAL(103,OFFSET(Table42[Part],ROW(Table42[Part])-ROW(CheckList!$C$3),0,1)),--(Table42[Part]=B14))=0),"",IF(I14=0,1,(J14/I14)))</f>
        <v>0</v>
      </c>
    </row>
    <row r="15" spans="2:11" ht="14.25" customHeight="1" x14ac:dyDescent="0.25">
      <c r="B15" s="28" t="s">
        <v>153</v>
      </c>
      <c r="C15" s="16"/>
      <c r="D15" s="16" t="str">
        <f t="shared" si="0"/>
        <v>Section 1 - 5 Commercial packaging Checked</v>
      </c>
      <c r="E15" s="86"/>
      <c r="F15" s="86"/>
      <c r="G15" s="86" t="s">
        <v>122</v>
      </c>
      <c r="H15" s="86" t="s">
        <v>122</v>
      </c>
      <c r="I15" s="40">
        <f ca="1">IF(AND(Table21[[#This Row],[Type]]="Section",SUMPRODUCT(SUBTOTAL(103,OFFSET(Table42[PES Section],ROW(Table42[Part])-ROW(CheckList!$C$3),0,1)),--(Table42[PES Section]=B15))=0),"",SUMPRODUCT(SUBTOTAL(103,OFFSET(Table42[Part],ROW(Table42[Part])-ROW(CheckList!$C$3),0,1)),--(Table42[Part]=B15)))</f>
        <v>1</v>
      </c>
      <c r="J15" s="20">
        <f ca="1">IF(AND(Table21[[#This Row],[Type]]="Section",SUMPRODUCT(SUBTOTAL(103,OFFSET(Table42[Part],ROW(Table42[Part])-ROW(CheckList!$C$3),0,1)),--(Table42[Part]=B15))=0),"",SUMPRODUCT(SUBTOTAL(103,OFFSET(Table42[Part],ROW(Table42[Part])-ROW(CheckList!$C$3),0,1)),--(Table42[Column1]=D15)))</f>
        <v>0</v>
      </c>
      <c r="K15" s="29">
        <f ca="1">IF(AND(Table21[[#This Row],[Type]]="Section",SUMPRODUCT(SUBTOTAL(103,OFFSET(Table42[Part],ROW(Table42[Part])-ROW(CheckList!$C$3),0,1)),--(Table42[Part]=B15))=0),"",IF(I15=0,1,(J15/I15)))</f>
        <v>0</v>
      </c>
    </row>
    <row r="16" spans="2:11" s="7" customFormat="1" ht="14.25" hidden="1" customHeight="1" x14ac:dyDescent="0.25">
      <c r="B16" s="30" t="s">
        <v>58</v>
      </c>
      <c r="C16" s="12" t="s">
        <v>11</v>
      </c>
      <c r="D16" s="12" t="str">
        <f t="shared" si="0"/>
        <v>1. High Level Specifications Checked</v>
      </c>
      <c r="E16" s="12" t="s">
        <v>122</v>
      </c>
      <c r="F16" s="12" t="s">
        <v>122</v>
      </c>
      <c r="G16" s="12"/>
      <c r="H16" s="12"/>
      <c r="I16" s="21" t="str">
        <f ca="1">IF(AND(Table21[[#This Row],[Type]]="Section",SUMPRODUCT(SUBTOTAL(103,OFFSET(Table42[Part],ROW(Table42[Part])-ROW(CheckList!$C$3),0,1)),--(Table42[Part]=B16))=0),"",SUMPRODUCT(SUBTOTAL(103,OFFSET(Table42[Part],ROW(Table42[Part])-ROW(CheckList!$C$3),0,1)),--(Table42[Part]=B16)))</f>
        <v/>
      </c>
      <c r="J16" s="22" t="str">
        <f ca="1">IF(AND(Table21[[#This Row],[Type]]="Section",SUMPRODUCT(SUBTOTAL(103,OFFSET(Table42[Part],ROW(Table42[Part])-ROW(CheckList!$C$3),0,1)),--(Table42[Part]=B16))=0),"",SUMPRODUCT(SUBTOTAL(103,OFFSET(Table42[Part],ROW(Table42[Part])-ROW(CheckList!$C$3),0,1)),--(Table42[Column1]=D16)))</f>
        <v/>
      </c>
      <c r="K16" s="31" t="str">
        <f ca="1">IF(AND(Table21[[#This Row],[Type]]="Section",SUMPRODUCT(SUBTOTAL(103,OFFSET(Table42[Part],ROW(Table42[Part])-ROW(CheckList!$C$3),0,1)),--(Table42[Part]=B16))=0),"",IF(I16=0,1,(J16/I16)))</f>
        <v/>
      </c>
    </row>
    <row r="17" spans="2:11" s="7" customFormat="1" ht="14.25" hidden="1" customHeight="1" x14ac:dyDescent="0.25">
      <c r="B17" s="28" t="s">
        <v>81</v>
      </c>
      <c r="C17" s="16"/>
      <c r="D17" s="16" t="str">
        <f t="shared" si="0"/>
        <v>1.1 Related requirement and function target delivery Checked</v>
      </c>
      <c r="E17" s="86" t="s">
        <v>122</v>
      </c>
      <c r="F17" s="86" t="s">
        <v>122</v>
      </c>
      <c r="G17" s="86"/>
      <c r="H17" s="86"/>
      <c r="I17" s="17">
        <f ca="1">IF(AND(Table21[[#This Row],[Type]]="Section",SUMPRODUCT(SUBTOTAL(103,OFFSET(Table42[Part],ROW(Table42[Part])-ROW(CheckList!$C$3),0,1)),--(Table42[Part]=B17))=0),"",SUMPRODUCT(SUBTOTAL(103,OFFSET(Table42[Part],ROW(Table42[Part])-ROW(CheckList!$C$3),0,1)),--(Table42[Part]=B17)))</f>
        <v>0</v>
      </c>
      <c r="J17" s="17">
        <f ca="1">IF(AND(Table21[[#This Row],[Type]]="Section",SUMPRODUCT(SUBTOTAL(103,OFFSET(Table42[Part],ROW(Table42[Part])-ROW(CheckList!$C$3),0,1)),--(Table42[Part]=B17))=0),"",SUMPRODUCT(SUBTOTAL(103,OFFSET(Table42[Part],ROW(Table42[Part])-ROW(CheckList!$C$3),0,1)),--(Table42[Column1]=D17)))</f>
        <v>0</v>
      </c>
      <c r="K17" s="32">
        <f ca="1">IF(AND(Table21[[#This Row],[Type]]="Section",SUMPRODUCT(SUBTOTAL(103,OFFSET(Table42[Part],ROW(Table42[Part])-ROW(CheckList!$C$3),0,1)),--(Table42[Part]=B17))=0),"",IF(I17=0,1,(J17/I17)))</f>
        <v>1</v>
      </c>
    </row>
    <row r="18" spans="2:11" s="7" customFormat="1" ht="14.25" hidden="1" customHeight="1" x14ac:dyDescent="0.25">
      <c r="B18" s="28" t="s">
        <v>61</v>
      </c>
      <c r="C18" s="16"/>
      <c r="D18" s="16" t="str">
        <f t="shared" si="0"/>
        <v>1.2 How this function fits into the customer’s business process Checked</v>
      </c>
      <c r="E18" s="86" t="s">
        <v>122</v>
      </c>
      <c r="F18" s="86" t="s">
        <v>122</v>
      </c>
      <c r="G18" s="86"/>
      <c r="H18" s="86"/>
      <c r="I18" s="17">
        <f ca="1">IF(AND(Table21[[#This Row],[Type]]="Section",SUMPRODUCT(SUBTOTAL(103,OFFSET(Table42[Part],ROW(Table42[Part])-ROW(CheckList!$C$3),0,1)),--(Table42[Part]=B18))=0),"",SUMPRODUCT(SUBTOTAL(103,OFFSET(Table42[Part],ROW(Table42[Part])-ROW(CheckList!$C$3),0,1)),--(Table42[Part]=B18)))</f>
        <v>0</v>
      </c>
      <c r="J18" s="17">
        <f ca="1">IF(AND(Table21[[#This Row],[Type]]="Section",SUMPRODUCT(SUBTOTAL(103,OFFSET(Table42[Part],ROW(Table42[Part])-ROW(CheckList!$C$3),0,1)),--(Table42[Part]=B18))=0),"",SUMPRODUCT(SUBTOTAL(103,OFFSET(Table42[Part],ROW(Table42[Part])-ROW(CheckList!$C$3),0,1)),--(Table42[Column1]=D18)))</f>
        <v>0</v>
      </c>
      <c r="K18" s="32">
        <f ca="1">IF(AND(Table21[[#This Row],[Type]]="Section",SUMPRODUCT(SUBTOTAL(103,OFFSET(Table42[Part],ROW(Table42[Part])-ROW(CheckList!$C$3),0,1)),--(Table42[Part]=B18))=0),"",IF(I18=0,1,(J18/I18)))</f>
        <v>1</v>
      </c>
    </row>
    <row r="19" spans="2:11" s="7" customFormat="1" ht="13.5" hidden="1" customHeight="1" x14ac:dyDescent="0.25">
      <c r="B19" s="28" t="s">
        <v>62</v>
      </c>
      <c r="C19" s="16"/>
      <c r="D19" s="16" t="str">
        <f t="shared" si="0"/>
        <v>1.3 What the function will do ? Checked</v>
      </c>
      <c r="E19" s="86" t="s">
        <v>122</v>
      </c>
      <c r="F19" s="86" t="s">
        <v>122</v>
      </c>
      <c r="G19" s="86"/>
      <c r="H19" s="86"/>
      <c r="I19" s="20">
        <f ca="1">IF(AND(Table21[[#This Row],[Type]]="Section",SUMPRODUCT(SUBTOTAL(103,OFFSET(Table42[Part],ROW(Table42[Part])-ROW(CheckList!$C$3),0,1)),--(Table42[Part]=B19))=0),"",SUMPRODUCT(SUBTOTAL(103,OFFSET(Table42[Part],ROW(Table42[Part])-ROW(CheckList!$C$3),0,1)),--(Table42[Part]=B19)))</f>
        <v>0</v>
      </c>
      <c r="J19" s="20">
        <f ca="1">IF(AND(Table21[[#This Row],[Type]]="Section",SUMPRODUCT(SUBTOTAL(103,OFFSET(Table42[Part],ROW(Table42[Part])-ROW(CheckList!$C$3),0,1)),--(Table42[Part]=B19))=0),"",SUMPRODUCT(SUBTOTAL(103,OFFSET(Table42[Part],ROW(Table42[Part])-ROW(CheckList!$C$3),0,1)),--(Table42[Column1]=D19)))</f>
        <v>0</v>
      </c>
      <c r="K19" s="29">
        <f ca="1">IF(AND(Table21[[#This Row],[Type]]="Section",SUMPRODUCT(SUBTOTAL(103,OFFSET(Table42[Part],ROW(Table42[Part])-ROW(CheckList!$C$3),0,1)),--(Table42[Part]=B19))=0),"",IF(I19=0,1,(J19/I19)))</f>
        <v>1</v>
      </c>
    </row>
    <row r="20" spans="2:11" s="7" customFormat="1" ht="14.25" hidden="1" customHeight="1" x14ac:dyDescent="0.25">
      <c r="B20" s="28" t="s">
        <v>82</v>
      </c>
      <c r="C20" s="16"/>
      <c r="D20" s="16" t="str">
        <f t="shared" si="0"/>
        <v>1.3.1 Function Capability Overview / Conceptual Model Checked</v>
      </c>
      <c r="E20" s="86" t="s">
        <v>122</v>
      </c>
      <c r="F20" s="86" t="s">
        <v>122</v>
      </c>
      <c r="G20" s="86"/>
      <c r="H20" s="86"/>
      <c r="I20" s="17">
        <f ca="1">IF(AND(Table21[[#This Row],[Type]]="Section",SUMPRODUCT(SUBTOTAL(103,OFFSET(Table42[Part],ROW(Table42[Part])-ROW(CheckList!$C$3),0,1)),--(Table42[Part]=B20))=0),"",SUMPRODUCT(SUBTOTAL(103,OFFSET(Table42[Part],ROW(Table42[Part])-ROW(CheckList!$C$3),0,1)),--(Table42[Part]=B20)))</f>
        <v>0</v>
      </c>
      <c r="J20" s="17">
        <f ca="1">IF(AND(Table21[[#This Row],[Type]]="Section",SUMPRODUCT(SUBTOTAL(103,OFFSET(Table42[Part],ROW(Table42[Part])-ROW(CheckList!$C$3),0,1)),--(Table42[Part]=B20))=0),"",SUMPRODUCT(SUBTOTAL(103,OFFSET(Table42[Part],ROW(Table42[Part])-ROW(CheckList!$C$3),0,1)),--(Table42[Column1]=D20)))</f>
        <v>0</v>
      </c>
      <c r="K20" s="32">
        <f ca="1">IF(AND(Table21[[#This Row],[Type]]="Section",SUMPRODUCT(SUBTOTAL(103,OFFSET(Table42[Part],ROW(Table42[Part])-ROW(CheckList!$C$3),0,1)),--(Table42[Part]=B20))=0),"",IF(I20=0,1,(J20/I20)))</f>
        <v>1</v>
      </c>
    </row>
    <row r="21" spans="2:11" s="7" customFormat="1" ht="14.25" hidden="1" customHeight="1" x14ac:dyDescent="0.25">
      <c r="B21" s="28" t="s">
        <v>63</v>
      </c>
      <c r="C21" s="16"/>
      <c r="D21" s="16" t="str">
        <f t="shared" si="0"/>
        <v>1.3.2 Quality of services including security controls Checked</v>
      </c>
      <c r="E21" s="86" t="s">
        <v>122</v>
      </c>
      <c r="F21" s="86" t="s">
        <v>122</v>
      </c>
      <c r="G21" s="86"/>
      <c r="H21" s="86"/>
      <c r="I21" s="17">
        <f ca="1">IF(AND(Table21[[#This Row],[Type]]="Section",SUMPRODUCT(SUBTOTAL(103,OFFSET(Table42[Part],ROW(Table42[Part])-ROW(CheckList!$C$3),0,1)),--(Table42[Part]=B21))=0),"",SUMPRODUCT(SUBTOTAL(103,OFFSET(Table42[Part],ROW(Table42[Part])-ROW(CheckList!$C$3),0,1)),--(Table42[Part]=B21)))</f>
        <v>0</v>
      </c>
      <c r="J21" s="17">
        <f ca="1">IF(AND(Table21[[#This Row],[Type]]="Section",SUMPRODUCT(SUBTOTAL(103,OFFSET(Table42[Part],ROW(Table42[Part])-ROW(CheckList!$C$3),0,1)),--(Table42[Part]=B21))=0),"",SUMPRODUCT(SUBTOTAL(103,OFFSET(Table42[Part],ROW(Table42[Part])-ROW(CheckList!$C$3),0,1)),--(Table42[Column1]=D21)))</f>
        <v>0</v>
      </c>
      <c r="K21" s="32">
        <f ca="1">IF(AND(Table21[[#This Row],[Type]]="Section",SUMPRODUCT(SUBTOTAL(103,OFFSET(Table42[Part],ROW(Table42[Part])-ROW(CheckList!$C$3),0,1)),--(Table42[Part]=B21))=0),"",IF(I21=0,1,(J21/I21)))</f>
        <v>1</v>
      </c>
    </row>
    <row r="22" spans="2:11" s="7" customFormat="1" ht="14.25" hidden="1" customHeight="1" x14ac:dyDescent="0.25">
      <c r="B22" s="28" t="s">
        <v>64</v>
      </c>
      <c r="C22" s="16"/>
      <c r="D22" s="16" t="str">
        <f t="shared" si="0"/>
        <v>1.4 What the function will not do ? Checked</v>
      </c>
      <c r="E22" s="86" t="s">
        <v>122</v>
      </c>
      <c r="F22" s="86" t="s">
        <v>122</v>
      </c>
      <c r="G22" s="86"/>
      <c r="H22" s="86"/>
      <c r="I22" s="20">
        <f ca="1">IF(AND(Table21[[#This Row],[Type]]="Section",SUMPRODUCT(SUBTOTAL(103,OFFSET(Table42[Part],ROW(Table42[Part])-ROW(CheckList!$C$3),0,1)),--(Table42[Part]=B22))=0),"",SUMPRODUCT(SUBTOTAL(103,OFFSET(Table42[Part],ROW(Table42[Part])-ROW(CheckList!$C$3),0,1)),--(Table42[Part]=B22)))</f>
        <v>0</v>
      </c>
      <c r="J22" s="20">
        <f ca="1">IF(AND(Table21[[#This Row],[Type]]="Section",SUMPRODUCT(SUBTOTAL(103,OFFSET(Table42[Part],ROW(Table42[Part])-ROW(CheckList!$C$3),0,1)),--(Table42[Part]=B22))=0),"",SUMPRODUCT(SUBTOTAL(103,OFFSET(Table42[Part],ROW(Table42[Part])-ROW(CheckList!$C$3),0,1)),--(Table42[Column1]=D22)))</f>
        <v>0</v>
      </c>
      <c r="K22" s="29">
        <f ca="1">IF(AND(Table21[[#This Row],[Type]]="Section",SUMPRODUCT(SUBTOTAL(103,OFFSET(Table42[Part],ROW(Table42[Part])-ROW(CheckList!$C$3),0,1)),--(Table42[Part]=B22))=0),"",IF(I22=0,1,(J22/I22)))</f>
        <v>1</v>
      </c>
    </row>
    <row r="23" spans="2:11" s="7" customFormat="1" ht="14.25" hidden="1" customHeight="1" x14ac:dyDescent="0.25">
      <c r="B23" s="28" t="s">
        <v>65</v>
      </c>
      <c r="C23" s="16"/>
      <c r="D23" s="16" t="str">
        <f t="shared" si="0"/>
        <v>1.5 Packaging Checked</v>
      </c>
      <c r="E23" s="86" t="s">
        <v>122</v>
      </c>
      <c r="F23" s="86" t="s">
        <v>122</v>
      </c>
      <c r="G23" s="86"/>
      <c r="H23" s="86"/>
      <c r="I23" s="17">
        <f ca="1">IF(AND(Table21[[#This Row],[Type]]="Section",SUMPRODUCT(SUBTOTAL(103,OFFSET(Table42[Part],ROW(Table42[Part])-ROW(CheckList!$C$3),0,1)),--(Table42[Part]=B23))=0),"",SUMPRODUCT(SUBTOTAL(103,OFFSET(Table42[Part],ROW(Table42[Part])-ROW(CheckList!$C$3),0,1)),--(Table42[Part]=B23)))</f>
        <v>0</v>
      </c>
      <c r="J23" s="17">
        <f ca="1">IF(AND(Table21[[#This Row],[Type]]="Section",SUMPRODUCT(SUBTOTAL(103,OFFSET(Table42[Part],ROW(Table42[Part])-ROW(CheckList!$C$3),0,1)),--(Table42[Part]=B23))=0),"",SUMPRODUCT(SUBTOTAL(103,OFFSET(Table42[Part],ROW(Table42[Part])-ROW(CheckList!$C$3),0,1)),--(Table42[Column1]=D23)))</f>
        <v>0</v>
      </c>
      <c r="K23" s="32">
        <f ca="1">IF(AND(Table21[[#This Row],[Type]]="Section",SUMPRODUCT(SUBTOTAL(103,OFFSET(Table42[Part],ROW(Table42[Part])-ROW(CheckList!$C$3),0,1)),--(Table42[Part]=B23))=0),"",IF(I23=0,1,(J23/I23)))</f>
        <v>1</v>
      </c>
    </row>
    <row r="24" spans="2:11" s="7" customFormat="1" ht="14.25" customHeight="1" x14ac:dyDescent="0.25">
      <c r="B24" s="30" t="s">
        <v>195</v>
      </c>
      <c r="C24" s="12" t="s">
        <v>11</v>
      </c>
      <c r="D24" s="12" t="str">
        <f t="shared" si="0"/>
        <v>Section 2. Detailed Specifications Checked</v>
      </c>
      <c r="E24" s="12"/>
      <c r="F24" s="12"/>
      <c r="G24" s="12" t="s">
        <v>122</v>
      </c>
      <c r="H24" s="12" t="s">
        <v>122</v>
      </c>
      <c r="I24" s="21"/>
      <c r="J24" s="22"/>
      <c r="K24" s="31"/>
    </row>
    <row r="25" spans="2:11" s="7" customFormat="1" ht="14.25" customHeight="1" x14ac:dyDescent="0.25">
      <c r="B25" s="28" t="s">
        <v>154</v>
      </c>
      <c r="C25" s="16"/>
      <c r="D25" s="16" t="str">
        <f t="shared" si="0"/>
        <v>Section 2 - 1 Packaging Checked</v>
      </c>
      <c r="E25" s="86"/>
      <c r="F25" s="86"/>
      <c r="G25" s="86" t="s">
        <v>122</v>
      </c>
      <c r="H25" s="86" t="s">
        <v>122</v>
      </c>
      <c r="I25" s="20">
        <f ca="1">IF(AND(Table21[[#This Row],[Type]]="Section",SUMPRODUCT(SUBTOTAL(103,OFFSET(Table42[Part],ROW(Table42[Part])-ROW(CheckList!$C$3),0,1)),--(Table42[Part]=B25))=0),"",SUMPRODUCT(SUBTOTAL(103,OFFSET(Table42[Part],ROW(Table42[Part])-ROW(CheckList!$C$3),0,1)),--(Table42[Part]=B25)))</f>
        <v>3</v>
      </c>
      <c r="J25" s="20">
        <f ca="1">IF(AND(Table21[[#This Row],[Type]]="Section",SUMPRODUCT(SUBTOTAL(103,OFFSET(Table42[Part],ROW(Table42[Part])-ROW(CheckList!$C$3),0,1)),--(Table42[Part]=B25))=0),"",SUMPRODUCT(SUBTOTAL(103,OFFSET(Table42[Part],ROW(Table42[Part])-ROW(CheckList!$C$3),0,1)),--(Table42[Column1]=D25)))</f>
        <v>0</v>
      </c>
      <c r="K25" s="29">
        <f ca="1">IF(AND(Table21[[#This Row],[Type]]="Section",SUMPRODUCT(SUBTOTAL(103,OFFSET(Table42[Part],ROW(Table42[Part])-ROW(CheckList!$C$3),0,1)),--(Table42[Part]=B25))=0),"",IF(I25=0,1,(J25/I25)))</f>
        <v>0</v>
      </c>
    </row>
    <row r="26" spans="2:11" s="7" customFormat="1" ht="14.25" customHeight="1" x14ac:dyDescent="0.25">
      <c r="B26" s="28" t="s">
        <v>203</v>
      </c>
      <c r="C26" s="16"/>
      <c r="D26" s="16" t="str">
        <f t="shared" si="0"/>
        <v>Section 2 - 2 User experience and interactions Checked</v>
      </c>
      <c r="E26" s="86"/>
      <c r="F26" s="86"/>
      <c r="G26" s="86" t="s">
        <v>122</v>
      </c>
      <c r="H26" s="86" t="s">
        <v>122</v>
      </c>
      <c r="I26" s="20">
        <f ca="1">IF(AND(Table21[[#This Row],[Type]]="Section",SUMPRODUCT(SUBTOTAL(103,OFFSET(Table42[Part],ROW(Table42[Part])-ROW(CheckList!$C$3),0,1)),--(Table42[Part]=B26))=0),"",SUMPRODUCT(SUBTOTAL(103,OFFSET(Table42[Part],ROW(Table42[Part])-ROW(CheckList!$C$3),0,1)),--(Table42[Part]=B26)))</f>
        <v>0</v>
      </c>
      <c r="J26" s="20">
        <f ca="1">IF(AND(Table21[[#This Row],[Type]]="Section",SUMPRODUCT(SUBTOTAL(103,OFFSET(Table42[Part],ROW(Table42[Part])-ROW(CheckList!$C$3),0,1)),--(Table42[Part]=B26))=0),"",SUMPRODUCT(SUBTOTAL(103,OFFSET(Table42[Part],ROW(Table42[Part])-ROW(CheckList!$C$3),0,1)),--(Table42[Column1]=D26)))</f>
        <v>0</v>
      </c>
      <c r="K26" s="29">
        <f ca="1">IF(AND(Table21[[#This Row],[Type]]="Section",SUMPRODUCT(SUBTOTAL(103,OFFSET(Table42[Part],ROW(Table42[Part])-ROW(CheckList!$C$3),0,1)),--(Table42[Part]=B26))=0),"",IF(I26=0,1,(J26/I26)))</f>
        <v>1</v>
      </c>
    </row>
    <row r="27" spans="2:11" s="7" customFormat="1" ht="14.25" customHeight="1" x14ac:dyDescent="0.25">
      <c r="B27" s="46" t="s">
        <v>155</v>
      </c>
      <c r="C27" s="16"/>
      <c r="D27" s="16" t="str">
        <f t="shared" si="0"/>
        <v>Section 2 - 2.1 User interface Checked</v>
      </c>
      <c r="E27" s="86"/>
      <c r="F27" s="86"/>
      <c r="G27" s="86" t="s">
        <v>122</v>
      </c>
      <c r="H27" s="86" t="s">
        <v>122</v>
      </c>
      <c r="I27" s="20">
        <f ca="1">IF(AND(Table21[[#This Row],[Type]]="Section",SUMPRODUCT(SUBTOTAL(103,OFFSET(Table42[Part],ROW(Table42[Part])-ROW(CheckList!$C$3),0,1)),--(Table42[Part]=B27))=0),"",SUMPRODUCT(SUBTOTAL(103,OFFSET(Table42[Part],ROW(Table42[Part])-ROW(CheckList!$C$3),0,1)),--(Table42[Part]=B27)))</f>
        <v>8</v>
      </c>
      <c r="J27" s="20">
        <f ca="1">IF(AND(Table21[[#This Row],[Type]]="Section",SUMPRODUCT(SUBTOTAL(103,OFFSET(Table42[Part],ROW(Table42[Part])-ROW(CheckList!$C$3),0,1)),--(Table42[Part]=B27))=0),"",SUMPRODUCT(SUBTOTAL(103,OFFSET(Table42[Part],ROW(Table42[Part])-ROW(CheckList!$C$3),0,1)),--(Table42[Column1]=D27)))</f>
        <v>0</v>
      </c>
      <c r="K27" s="29">
        <f ca="1">IF(AND(Table21[[#This Row],[Type]]="Section",SUMPRODUCT(SUBTOTAL(103,OFFSET(Table42[Part],ROW(Table42[Part])-ROW(CheckList!$C$3),0,1)),--(Table42[Part]=B27))=0),"",IF(I27=0,1,(J27/I27)))</f>
        <v>0</v>
      </c>
    </row>
    <row r="28" spans="2:11" s="7" customFormat="1" ht="14.25" customHeight="1" x14ac:dyDescent="0.25">
      <c r="B28" s="46" t="s">
        <v>156</v>
      </c>
      <c r="C28" s="16"/>
      <c r="D28" s="16" t="str">
        <f t="shared" si="0"/>
        <v>Section 2 - 2.2 User assistance Checked</v>
      </c>
      <c r="E28" s="86"/>
      <c r="F28" s="86"/>
      <c r="G28" s="86" t="s">
        <v>122</v>
      </c>
      <c r="H28" s="86" t="s">
        <v>122</v>
      </c>
      <c r="I28" s="20">
        <f ca="1">IF(AND(Table21[[#This Row],[Type]]="Section",SUMPRODUCT(SUBTOTAL(103,OFFSET(Table42[Part],ROW(Table42[Part])-ROW(CheckList!$C$3),0,1)),--(Table42[Part]=B28))=0),"",SUMPRODUCT(SUBTOTAL(103,OFFSET(Table42[Part],ROW(Table42[Part])-ROW(CheckList!$C$3),0,1)),--(Table42[Part]=B28)))</f>
        <v>2</v>
      </c>
      <c r="J28" s="20">
        <f ca="1">IF(AND(Table21[[#This Row],[Type]]="Section",SUMPRODUCT(SUBTOTAL(103,OFFSET(Table42[Part],ROW(Table42[Part])-ROW(CheckList!$C$3),0,1)),--(Table42[Part]=B28))=0),"",SUMPRODUCT(SUBTOTAL(103,OFFSET(Table42[Part],ROW(Table42[Part])-ROW(CheckList!$C$3),0,1)),--(Table42[Column1]=D28)))</f>
        <v>0</v>
      </c>
      <c r="K28" s="29">
        <f ca="1">IF(AND(Table21[[#This Row],[Type]]="Section",SUMPRODUCT(SUBTOTAL(103,OFFSET(Table42[Part],ROW(Table42[Part])-ROW(CheckList!$C$3),0,1)),--(Table42[Part]=B28))=0),"",IF(I28=0,1,(J28/I28)))</f>
        <v>0</v>
      </c>
    </row>
    <row r="29" spans="2:11" s="7" customFormat="1" ht="14.25" customHeight="1" x14ac:dyDescent="0.25">
      <c r="B29" s="46" t="s">
        <v>181</v>
      </c>
      <c r="C29" s="16"/>
      <c r="D29" s="16" t="str">
        <f t="shared" si="0"/>
        <v>Section 2 - 2.3 Page Objects Checked</v>
      </c>
      <c r="E29" s="86"/>
      <c r="F29" s="86"/>
      <c r="G29" s="86" t="s">
        <v>122</v>
      </c>
      <c r="H29" s="86" t="s">
        <v>122</v>
      </c>
      <c r="I29" s="17">
        <f ca="1">SUMPRODUCT(SUBTOTAL(103,OFFSET(Table42[Part],ROW(Table42[Part])-ROW(CheckList!$C$3),0,1)),--(Table42[Part]=B29))</f>
        <v>2</v>
      </c>
      <c r="J29" s="17">
        <f ca="1">IF(AND(Table21[[#This Row],[Type]]="Section",SUMPRODUCT(SUBTOTAL(103,OFFSET(Table42[Part],ROW(Table42[Part])-ROW(CheckList!$C$3),0,1)),--(Table42[Part]=B29))=0),"",SUMPRODUCT(SUBTOTAL(103,OFFSET(Table42[Part],ROW(Table42[Part])-ROW(CheckList!$C$3),0,1)),--(Table42[Column1]=D29)))</f>
        <v>0</v>
      </c>
      <c r="K29" s="32">
        <f ca="1">IF(AND(Table21[[#This Row],[Type]]="Section",SUMPRODUCT(SUBTOTAL(103,OFFSET(Table42[Part],ROW(Table42[Part])-ROW(CheckList!$C$3),0,1)),--(Table42[Part]=B29))=0),"",IF(I29=0,1,(J29/I29)))</f>
        <v>0</v>
      </c>
    </row>
    <row r="30" spans="2:11" s="7" customFormat="1" ht="14.25" customHeight="1" x14ac:dyDescent="0.25">
      <c r="B30" s="28" t="s">
        <v>157</v>
      </c>
      <c r="C30" s="16"/>
      <c r="D30" s="16" t="str">
        <f t="shared" si="0"/>
        <v>Section 2 - 3 Data management Checked</v>
      </c>
      <c r="E30" s="86"/>
      <c r="F30" s="86"/>
      <c r="G30" s="86" t="s">
        <v>122</v>
      </c>
      <c r="H30" s="86" t="s">
        <v>122</v>
      </c>
      <c r="I30" s="20">
        <f ca="1">IF(AND(Table21[[#This Row],[Type]]="Section",SUMPRODUCT(SUBTOTAL(103,OFFSET(Table42[Part],ROW(Table42[Part])-ROW(CheckList!$C$3),0,1)),--(Table42[Part]=B30))=0),"",SUMPRODUCT(SUBTOTAL(103,OFFSET(Table42[Part],ROW(Table42[Part])-ROW(CheckList!$C$3),0,1)),--(Table42[Part]=B30)))</f>
        <v>0</v>
      </c>
      <c r="J30" s="20">
        <f ca="1">IF(AND(Table21[[#This Row],[Type]]="Section",SUMPRODUCT(SUBTOTAL(103,OFFSET(Table42[Part],ROW(Table42[Part])-ROW(CheckList!$C$3),0,1)),--(Table42[Part]=B30))=0),"",SUMPRODUCT(SUBTOTAL(103,OFFSET(Table42[Part],ROW(Table42[Part])-ROW(CheckList!$C$3),0,1)),--(Table42[Column1]=D30)))</f>
        <v>0</v>
      </c>
      <c r="K30" s="29">
        <f ca="1">IF(AND(Table21[[#This Row],[Type]]="Section",SUMPRODUCT(SUBTOTAL(103,OFFSET(Table42[Part],ROW(Table42[Part])-ROW(CheckList!$C$3),0,1)),--(Table42[Part]=B30))=0),"",IF(I30=0,1,(J30/I30)))</f>
        <v>1</v>
      </c>
    </row>
    <row r="31" spans="2:11" s="7" customFormat="1" ht="14.25" customHeight="1" x14ac:dyDescent="0.25">
      <c r="B31" s="46" t="s">
        <v>158</v>
      </c>
      <c r="C31" s="16"/>
      <c r="D31" s="16" t="str">
        <f t="shared" si="0"/>
        <v>Section 2 - 3.1 Supported object types Checked</v>
      </c>
      <c r="E31" s="86"/>
      <c r="F31" s="86"/>
      <c r="G31" s="86" t="s">
        <v>122</v>
      </c>
      <c r="H31" s="86" t="s">
        <v>122</v>
      </c>
      <c r="I31" s="20">
        <f ca="1">IF(AND(Table21[[#This Row],[Type]]="Section",SUMPRODUCT(SUBTOTAL(103,OFFSET(Table42[Part],ROW(Table42[Part])-ROW(CheckList!$C$3),0,1)),--(Table42[Part]=B31))=0),"",SUMPRODUCT(SUBTOTAL(103,OFFSET(Table42[Part],ROW(Table42[Part])-ROW(CheckList!$C$3),0,1)),--(Table42[Part]=B31)))</f>
        <v>1</v>
      </c>
      <c r="J31" s="20">
        <f ca="1">IF(AND(Table21[[#This Row],[Type]]="Section",SUMPRODUCT(SUBTOTAL(103,OFFSET(Table42[Part],ROW(Table42[Part])-ROW(CheckList!$C$3),0,1)),--(Table42[Part]=B31))=0),"",SUMPRODUCT(SUBTOTAL(103,OFFSET(Table42[Part],ROW(Table42[Part])-ROW(CheckList!$C$3),0,1)),--(Table42[Column1]=D31)))</f>
        <v>0</v>
      </c>
      <c r="K31" s="29">
        <f ca="1">IF(AND(Table21[[#This Row],[Type]]="Section",SUMPRODUCT(SUBTOTAL(103,OFFSET(Table42[Part],ROW(Table42[Part])-ROW(CheckList!$C$3),0,1)),--(Table42[Part]=B31))=0),"",IF(I31=0,1,(J31/I31)))</f>
        <v>0</v>
      </c>
    </row>
    <row r="32" spans="2:11" s="7" customFormat="1" ht="14.25" customHeight="1" x14ac:dyDescent="0.25">
      <c r="B32" s="46" t="s">
        <v>159</v>
      </c>
      <c r="C32" s="16"/>
      <c r="D32" s="16" t="str">
        <f t="shared" si="0"/>
        <v>Section 2 - 3.2 Expected behavior for each object type Checked</v>
      </c>
      <c r="E32" s="86"/>
      <c r="F32" s="86"/>
      <c r="G32" s="86" t="s">
        <v>122</v>
      </c>
      <c r="H32" s="86" t="s">
        <v>122</v>
      </c>
      <c r="I32" s="20">
        <f ca="1">IF(AND(Table21[[#This Row],[Type]]="Section",SUMPRODUCT(SUBTOTAL(103,OFFSET(Table42[Part],ROW(Table42[Part])-ROW(CheckList!$C$3),0,1)),--(Table42[Part]=B32))=0),"",SUMPRODUCT(SUBTOTAL(103,OFFSET(Table42[Part],ROW(Table42[Part])-ROW(CheckList!$C$3),0,1)),--(Table42[Part]=B32)))</f>
        <v>1</v>
      </c>
      <c r="J32" s="20">
        <f ca="1">IF(AND(Table21[[#This Row],[Type]]="Section",SUMPRODUCT(SUBTOTAL(103,OFFSET(Table42[Part],ROW(Table42[Part])-ROW(CheckList!$C$3),0,1)),--(Table42[Part]=B32))=0),"",SUMPRODUCT(SUBTOTAL(103,OFFSET(Table42[Part],ROW(Table42[Part])-ROW(CheckList!$C$3),0,1)),--(Table42[Column1]=D32)))</f>
        <v>0</v>
      </c>
      <c r="K32" s="29">
        <f ca="1">IF(AND(Table21[[#This Row],[Type]]="Section",SUMPRODUCT(SUBTOTAL(103,OFFSET(Table42[Part],ROW(Table42[Part])-ROW(CheckList!$C$3),0,1)),--(Table42[Part]=B32))=0),"",IF(I32=0,1,(J32/I32)))</f>
        <v>0</v>
      </c>
    </row>
    <row r="33" spans="2:11" s="7" customFormat="1" ht="14.25" customHeight="1" x14ac:dyDescent="0.25">
      <c r="B33" s="46" t="s">
        <v>160</v>
      </c>
      <c r="C33" s="16"/>
      <c r="D33" s="16" t="str">
        <f t="shared" si="0"/>
        <v>Section 2 - 3.3 Data persistency and/or upgrade Checked</v>
      </c>
      <c r="E33" s="86"/>
      <c r="F33" s="86"/>
      <c r="G33" s="86" t="s">
        <v>122</v>
      </c>
      <c r="H33" s="86" t="s">
        <v>122</v>
      </c>
      <c r="I33" s="20">
        <f ca="1">IF(AND(Table21[[#This Row],[Type]]="Section",SUMPRODUCT(SUBTOTAL(103,OFFSET(Table42[Part],ROW(Table42[Part])-ROW(CheckList!$C$3),0,1)),--(Table42[Part]=B33))=0),"",SUMPRODUCT(SUBTOTAL(103,OFFSET(Table42[Part],ROW(Table42[Part])-ROW(CheckList!$C$3),0,1)),--(Table42[Part]=B33)))</f>
        <v>10</v>
      </c>
      <c r="J33" s="20">
        <f ca="1">IF(AND(Table21[[#This Row],[Type]]="Section",SUMPRODUCT(SUBTOTAL(103,OFFSET(Table42[Part],ROW(Table42[Part])-ROW(CheckList!$C$3),0,1)),--(Table42[Part]=B33))=0),"",SUMPRODUCT(SUBTOTAL(103,OFFSET(Table42[Part],ROW(Table42[Part])-ROW(CheckList!$C$3),0,1)),--(Table42[Column1]=D33)))</f>
        <v>0</v>
      </c>
      <c r="K33" s="29">
        <f ca="1">IF(AND(Table21[[#This Row],[Type]]="Section",SUMPRODUCT(SUBTOTAL(103,OFFSET(Table42[Part],ROW(Table42[Part])-ROW(CheckList!$C$3),0,1)),--(Table42[Part]=B33))=0),"",IF(I33=0,1,(J33/I33)))</f>
        <v>0</v>
      </c>
    </row>
    <row r="34" spans="2:11" s="7" customFormat="1" ht="14.25" customHeight="1" x14ac:dyDescent="0.25">
      <c r="B34" s="46" t="s">
        <v>161</v>
      </c>
      <c r="C34" s="16"/>
      <c r="D34" s="16" t="str">
        <f t="shared" si="0"/>
        <v>Section 2 - 3.4 Data repository Checked</v>
      </c>
      <c r="E34" s="86"/>
      <c r="F34" s="86"/>
      <c r="G34" s="86" t="s">
        <v>122</v>
      </c>
      <c r="H34" s="86" t="s">
        <v>122</v>
      </c>
      <c r="I34" s="20">
        <f ca="1">IF(AND(Table21[[#This Row],[Type]]="Section",SUMPRODUCT(SUBTOTAL(103,OFFSET(Table42[Part],ROW(Table42[Part])-ROW(CheckList!$C$3),0,1)),--(Table42[Part]=B34))=0),"",SUMPRODUCT(SUBTOTAL(103,OFFSET(Table42[Part],ROW(Table42[Part])-ROW(CheckList!$C$3),0,1)),--(Table42[Part]=B34)))</f>
        <v>1</v>
      </c>
      <c r="J34" s="20">
        <f ca="1">IF(AND(Table21[[#This Row],[Type]]="Section",SUMPRODUCT(SUBTOTAL(103,OFFSET(Table42[Part],ROW(Table42[Part])-ROW(CheckList!$C$3),0,1)),--(Table42[Part]=B34))=0),"",SUMPRODUCT(SUBTOTAL(103,OFFSET(Table42[Part],ROW(Table42[Part])-ROW(CheckList!$C$3),0,1)),--(Table42[Column1]=D34)))</f>
        <v>0</v>
      </c>
      <c r="K34" s="29">
        <f ca="1">IF(AND(Table21[[#This Row],[Type]]="Section",SUMPRODUCT(SUBTOTAL(103,OFFSET(Table42[Part],ROW(Table42[Part])-ROW(CheckList!$C$3),0,1)),--(Table42[Part]=B34))=0),"",IF(I34=0,1,(J34/I34)))</f>
        <v>0</v>
      </c>
    </row>
    <row r="35" spans="2:11" s="7" customFormat="1" ht="14.25" customHeight="1" x14ac:dyDescent="0.25">
      <c r="B35" s="28" t="s">
        <v>162</v>
      </c>
      <c r="C35" s="16"/>
      <c r="D35" s="16" t="str">
        <f t="shared" si="0"/>
        <v>Section 2 - 4 Customization by end user or administrator Checked</v>
      </c>
      <c r="E35" s="86"/>
      <c r="F35" s="86"/>
      <c r="G35" s="86" t="s">
        <v>122</v>
      </c>
      <c r="H35" s="86" t="s">
        <v>122</v>
      </c>
      <c r="I35" s="20">
        <f ca="1">IF(AND(Table21[[#This Row],[Type]]="Section",SUMPRODUCT(SUBTOTAL(103,OFFSET(Table42[Part],ROW(Table42[Part])-ROW(CheckList!$C$3),0,1)),--(Table42[Part]=B35))=0),"",SUMPRODUCT(SUBTOTAL(103,OFFSET(Table42[Part],ROW(Table42[Part])-ROW(CheckList!$C$3),0,1)),--(Table42[Part]=B35)))</f>
        <v>9</v>
      </c>
      <c r="J35" s="20">
        <f ca="1">IF(AND(Table21[[#This Row],[Type]]="Section",SUMPRODUCT(SUBTOTAL(103,OFFSET(Table42[Part],ROW(Table42[Part])-ROW(CheckList!$C$3),0,1)),--(Table42[Part]=B35))=0),"",SUMPRODUCT(SUBTOTAL(103,OFFSET(Table42[Part],ROW(Table42[Part])-ROW(CheckList!$C$3),0,1)),--(Table42[Column1]=D35)))</f>
        <v>0</v>
      </c>
      <c r="K35" s="29">
        <f ca="1">IF(AND(Table21[[#This Row],[Type]]="Section",SUMPRODUCT(SUBTOTAL(103,OFFSET(Table42[Part],ROW(Table42[Part])-ROW(CheckList!$C$3),0,1)),--(Table42[Part]=B35))=0),"",IF(I35=0,1,(J35/I35)))</f>
        <v>0</v>
      </c>
    </row>
    <row r="36" spans="2:11" s="7" customFormat="1" ht="14.25" customHeight="1" x14ac:dyDescent="0.25">
      <c r="B36" s="28" t="s">
        <v>163</v>
      </c>
      <c r="C36" s="16"/>
      <c r="D36" s="16" t="str">
        <f t="shared" si="0"/>
        <v>Section 2 - 5 Programming Interface Checked</v>
      </c>
      <c r="E36" s="86"/>
      <c r="F36" s="86"/>
      <c r="G36" s="86" t="s">
        <v>122</v>
      </c>
      <c r="H36" s="86" t="s">
        <v>122</v>
      </c>
      <c r="I36" s="20">
        <f ca="1">IF(AND(Table21[[#This Row],[Type]]="Section",SUMPRODUCT(SUBTOTAL(103,OFFSET(Table42[Part],ROW(Table42[Part])-ROW(CheckList!$C$3),0,1)),--(Table42[Part]=B36))=0),"",SUMPRODUCT(SUBTOTAL(103,OFFSET(Table42[Part],ROW(Table42[Part])-ROW(CheckList!$C$3),0,1)),--(Table42[Part]=B36)))</f>
        <v>1</v>
      </c>
      <c r="J36" s="20">
        <f ca="1">IF(AND(Table21[[#This Row],[Type]]="Section",SUMPRODUCT(SUBTOTAL(103,OFFSET(Table42[Part],ROW(Table42[Part])-ROW(CheckList!$C$3),0,1)),--(Table42[Part]=B36))=0),"",SUMPRODUCT(SUBTOTAL(103,OFFSET(Table42[Part],ROW(Table42[Part])-ROW(CheckList!$C$3),0,1)),--(Table42[Column1]=D36)))</f>
        <v>0</v>
      </c>
      <c r="K36" s="29">
        <f ca="1">IF(AND(Table21[[#This Row],[Type]]="Section",SUMPRODUCT(SUBTOTAL(103,OFFSET(Table42[Part],ROW(Table42[Part])-ROW(CheckList!$C$3),0,1)),--(Table42[Part]=B36))=0),"",IF(I36=0,1,(J36/I36)))</f>
        <v>0</v>
      </c>
    </row>
    <row r="37" spans="2:11" s="7" customFormat="1" ht="14.25" customHeight="1" x14ac:dyDescent="0.25">
      <c r="B37" s="46" t="s">
        <v>164</v>
      </c>
      <c r="C37" s="16"/>
      <c r="D37" s="16" t="str">
        <f t="shared" si="0"/>
        <v>Section 2 - 5.1 Detailed API description Checked</v>
      </c>
      <c r="E37" s="86"/>
      <c r="F37" s="86"/>
      <c r="G37" s="86" t="s">
        <v>122</v>
      </c>
      <c r="H37" s="86" t="s">
        <v>122</v>
      </c>
      <c r="I37" s="20">
        <f ca="1">IF(AND(Table21[[#This Row],[Type]]="Section",SUMPRODUCT(SUBTOTAL(103,OFFSET(Table42[Part],ROW(Table42[Part])-ROW(CheckList!$C$3),0,1)),--(Table42[Part]=B37))=0),"",SUMPRODUCT(SUBTOTAL(103,OFFSET(Table42[Part],ROW(Table42[Part])-ROW(CheckList!$C$3),0,1)),--(Table42[Part]=B37)))</f>
        <v>0</v>
      </c>
      <c r="J37" s="20">
        <f ca="1">IF(AND(Table21[[#This Row],[Type]]="Section",SUMPRODUCT(SUBTOTAL(103,OFFSET(Table42[Part],ROW(Table42[Part])-ROW(CheckList!$C$3),0,1)),--(Table42[Part]=B37))=0),"",SUMPRODUCT(SUBTOTAL(103,OFFSET(Table42[Part],ROW(Table42[Part])-ROW(CheckList!$C$3),0,1)),--(Table42[Column1]=D37)))</f>
        <v>0</v>
      </c>
      <c r="K37" s="29">
        <f ca="1">IF(AND(Table21[[#This Row],[Type]]="Section",SUMPRODUCT(SUBTOTAL(103,OFFSET(Table42[Part],ROW(Table42[Part])-ROW(CheckList!$C$3),0,1)),--(Table42[Part]=B37))=0),"",IF(I37=0,1,(J37/I37)))</f>
        <v>1</v>
      </c>
    </row>
    <row r="38" spans="2:11" s="7" customFormat="1" ht="14.25" customHeight="1" x14ac:dyDescent="0.25">
      <c r="B38" s="46" t="s">
        <v>165</v>
      </c>
      <c r="C38" s="16"/>
      <c r="D38" s="16" t="str">
        <f t="shared" si="0"/>
        <v>Section 2 - 5.2 Automation for command journaling Checked</v>
      </c>
      <c r="E38" s="86"/>
      <c r="F38" s="86"/>
      <c r="G38" s="86" t="s">
        <v>122</v>
      </c>
      <c r="H38" s="86" t="s">
        <v>122</v>
      </c>
      <c r="I38" s="20">
        <f ca="1">IF(AND(Table21[[#This Row],[Type]]="Section",SUMPRODUCT(SUBTOTAL(103,OFFSET(Table42[Part],ROW(Table42[Part])-ROW(CheckList!$C$3),0,1)),--(Table42[Part]=B38))=0),"",SUMPRODUCT(SUBTOTAL(103,OFFSET(Table42[Part],ROW(Table42[Part])-ROW(CheckList!$C$3),0,1)),--(Table42[Part]=B38)))</f>
        <v>0</v>
      </c>
      <c r="J38" s="20">
        <f ca="1">IF(AND(Table21[[#This Row],[Type]]="Section",SUMPRODUCT(SUBTOTAL(103,OFFSET(Table42[Part],ROW(Table42[Part])-ROW(CheckList!$C$3),0,1)),--(Table42[Part]=B38))=0),"",SUMPRODUCT(SUBTOTAL(103,OFFSET(Table42[Part],ROW(Table42[Part])-ROW(CheckList!$C$3),0,1)),--(Table42[Column1]=D38)))</f>
        <v>0</v>
      </c>
      <c r="K38" s="29">
        <f ca="1">IF(AND(Table21[[#This Row],[Type]]="Section",SUMPRODUCT(SUBTOTAL(103,OFFSET(Table42[Part],ROW(Table42[Part])-ROW(CheckList!$C$3),0,1)),--(Table42[Part]=B38))=0),"",IF(I38=0,1,(J38/I38)))</f>
        <v>1</v>
      </c>
    </row>
    <row r="39" spans="2:11" s="7" customFormat="1" ht="14.25" hidden="1" customHeight="1" x14ac:dyDescent="0.25">
      <c r="B39" s="30" t="s">
        <v>50</v>
      </c>
      <c r="C39" s="12" t="s">
        <v>11</v>
      </c>
      <c r="D39" s="12" t="str">
        <f t="shared" si="0"/>
        <v>2. Detailed Specifications Checked</v>
      </c>
      <c r="E39" s="12" t="s">
        <v>122</v>
      </c>
      <c r="F39" s="12" t="s">
        <v>122</v>
      </c>
      <c r="G39" s="12"/>
      <c r="H39" s="12"/>
      <c r="I39" s="21" t="str">
        <f ca="1">IF(AND(Table21[[#This Row],[Type]]="Section",SUMPRODUCT(SUBTOTAL(103,OFFSET(Table42[Part],ROW(Table42[Part])-ROW(CheckList!$C$3),0,1)),--(Table42[Part]=B39))=0),"",SUMPRODUCT(SUBTOTAL(103,OFFSET(Table42[Part],ROW(Table42[Part])-ROW(CheckList!$C$3),0,1)),--(Table42[Part]=B39)))</f>
        <v/>
      </c>
      <c r="J39" s="22" t="str">
        <f ca="1">IF(AND(Table21[[#This Row],[Type]]="Section",SUMPRODUCT(SUBTOTAL(103,OFFSET(Table42[Part],ROW(Table42[Part])-ROW(CheckList!$C$3),0,1)),--(Table42[Part]=B39))=0),"",SUMPRODUCT(SUBTOTAL(103,OFFSET(Table42[Part],ROW(Table42[Part])-ROW(CheckList!$C$3),0,1)),--(Table42[Column1]=D39)))</f>
        <v/>
      </c>
      <c r="K39" s="31" t="str">
        <f ca="1">IF(AND(Table21[[#This Row],[Type]]="Section",SUMPRODUCT(SUBTOTAL(103,OFFSET(Table42[Part],ROW(Table42[Part])-ROW(CheckList!$C$3),0,1)),--(Table42[Part]=B39))=0),"",IF(I39=0,1,(J39/I39)))</f>
        <v/>
      </c>
    </row>
    <row r="40" spans="2:11" s="7" customFormat="1" ht="14.25" hidden="1" customHeight="1" x14ac:dyDescent="0.25">
      <c r="B40" s="28" t="s">
        <v>66</v>
      </c>
      <c r="C40" s="16"/>
      <c r="D40" s="16" t="str">
        <f t="shared" si="0"/>
        <v>2.1 External View / Behavior Checked</v>
      </c>
      <c r="E40" s="86" t="s">
        <v>122</v>
      </c>
      <c r="F40" s="86" t="s">
        <v>122</v>
      </c>
      <c r="G40" s="86"/>
      <c r="H40" s="86"/>
      <c r="I40" s="17">
        <f ca="1">IF(AND(Table21[[#This Row],[Type]]="Section",SUMPRODUCT(SUBTOTAL(103,OFFSET(Table42[Part],ROW(Table42[Part])-ROW(CheckList!$C$3),0,1)),--(Table42[Part]=B40))=0),"",SUMPRODUCT(SUBTOTAL(103,OFFSET(Table42[Part],ROW(Table42[Part])-ROW(CheckList!$C$3),0,1)),--(Table42[Part]=B40)))</f>
        <v>0</v>
      </c>
      <c r="J40" s="17">
        <f ca="1">IF(AND(Table21[[#This Row],[Type]]="Section",SUMPRODUCT(SUBTOTAL(103,OFFSET(Table42[Part],ROW(Table42[Part])-ROW(CheckList!$C$3),0,1)),--(Table42[Part]=B40))=0),"",SUMPRODUCT(SUBTOTAL(103,OFFSET(Table42[Part],ROW(Table42[Part])-ROW(CheckList!$C$3),0,1)),--(Table42[Column1]=D40)))</f>
        <v>0</v>
      </c>
      <c r="K40" s="32">
        <f ca="1">IF(AND(Table21[[#This Row],[Type]]="Section",SUMPRODUCT(SUBTOTAL(103,OFFSET(Table42[Part],ROW(Table42[Part])-ROW(CheckList!$C$3),0,1)),--(Table42[Part]=B40))=0),"",IF(I40=0,1,(J40/I40)))</f>
        <v>1</v>
      </c>
    </row>
    <row r="41" spans="2:11" s="7" customFormat="1" ht="14.25" hidden="1" customHeight="1" x14ac:dyDescent="0.25">
      <c r="B41" s="28" t="s">
        <v>83</v>
      </c>
      <c r="C41" s="16"/>
      <c r="D41" s="16" t="str">
        <f t="shared" si="0"/>
        <v>2.2 Data Management Checked</v>
      </c>
      <c r="E41" s="86" t="s">
        <v>122</v>
      </c>
      <c r="F41" s="86" t="s">
        <v>122</v>
      </c>
      <c r="G41" s="86"/>
      <c r="H41" s="86"/>
      <c r="I41" s="17">
        <f ca="1">IF(AND(Table21[[#This Row],[Type]]="Section",SUMPRODUCT(SUBTOTAL(103,OFFSET(Table42[Part],ROW(Table42[Part])-ROW(CheckList!$C$3),0,1)),--(Table42[Part]=B41))=0),"",SUMPRODUCT(SUBTOTAL(103,OFFSET(Table42[Part],ROW(Table42[Part])-ROW(CheckList!$C$3),0,1)),--(Table42[Part]=B41)))</f>
        <v>0</v>
      </c>
      <c r="J41" s="17">
        <f ca="1">IF(AND(Table21[[#This Row],[Type]]="Section",SUMPRODUCT(SUBTOTAL(103,OFFSET(Table42[Part],ROW(Table42[Part])-ROW(CheckList!$C$3),0,1)),--(Table42[Part]=B41))=0),"",SUMPRODUCT(SUBTOTAL(103,OFFSET(Table42[Part],ROW(Table42[Part])-ROW(CheckList!$C$3),0,1)),--(Table42[Column1]=D41)))</f>
        <v>0</v>
      </c>
      <c r="K41" s="32">
        <f ca="1">IF(AND(Table21[[#This Row],[Type]]="Section",SUMPRODUCT(SUBTOTAL(103,OFFSET(Table42[Part],ROW(Table42[Part])-ROW(CheckList!$C$3),0,1)),--(Table42[Part]=B41))=0),"",IF(I41=0,1,(J41/I41)))</f>
        <v>1</v>
      </c>
    </row>
    <row r="42" spans="2:11" s="7" customFormat="1" ht="14.25" hidden="1" customHeight="1" x14ac:dyDescent="0.25">
      <c r="B42" s="28" t="s">
        <v>84</v>
      </c>
      <c r="C42" s="16"/>
      <c r="D42" s="16" t="str">
        <f t="shared" si="0"/>
        <v>2.2.1 Data Persistency Checked</v>
      </c>
      <c r="E42" s="86" t="s">
        <v>122</v>
      </c>
      <c r="F42" s="86" t="s">
        <v>122</v>
      </c>
      <c r="G42" s="86"/>
      <c r="H42" s="86"/>
      <c r="I42" s="17">
        <f ca="1">IF(AND(Table21[[#This Row],[Type]]="Section",SUMPRODUCT(SUBTOTAL(103,OFFSET(Table42[Part],ROW(Table42[Part])-ROW(CheckList!$C$3),0,1)),--(Table42[Part]=B42))=0),"",SUMPRODUCT(SUBTOTAL(103,OFFSET(Table42[Part],ROW(Table42[Part])-ROW(CheckList!$C$3),0,1)),--(Table42[Part]=B42)))</f>
        <v>0</v>
      </c>
      <c r="J42" s="17">
        <f ca="1">IF(AND(Table21[[#This Row],[Type]]="Section",SUMPRODUCT(SUBTOTAL(103,OFFSET(Table42[Part],ROW(Table42[Part])-ROW(CheckList!$C$3),0,1)),--(Table42[Part]=B42))=0),"",SUMPRODUCT(SUBTOTAL(103,OFFSET(Table42[Part],ROW(Table42[Part])-ROW(CheckList!$C$3),0,1)),--(Table42[Column1]=D42)))</f>
        <v>0</v>
      </c>
      <c r="K42" s="32">
        <f ca="1">IF(AND(Table21[[#This Row],[Type]]="Section",SUMPRODUCT(SUBTOTAL(103,OFFSET(Table42[Part],ROW(Table42[Part])-ROW(CheckList!$C$3),0,1)),--(Table42[Part]=B42))=0),"",IF(I42=0,1,(J42/I42)))</f>
        <v>1</v>
      </c>
    </row>
    <row r="43" spans="2:11" s="7" customFormat="1" ht="14.25" hidden="1" customHeight="1" x14ac:dyDescent="0.25">
      <c r="B43" s="28" t="s">
        <v>85</v>
      </c>
      <c r="C43" s="16"/>
      <c r="D43" s="16" t="str">
        <f t="shared" si="0"/>
        <v>2.2.2 Supported Input Data Types Checked</v>
      </c>
      <c r="E43" s="86" t="s">
        <v>122</v>
      </c>
      <c r="F43" s="86" t="s">
        <v>122</v>
      </c>
      <c r="G43" s="86"/>
      <c r="H43" s="86"/>
      <c r="I43" s="17">
        <f ca="1">IF(AND(Table21[[#This Row],[Type]]="Section",SUMPRODUCT(SUBTOTAL(103,OFFSET(Table42[Part],ROW(Table42[Part])-ROW(CheckList!$C$3),0,1)),--(Table42[Part]=B43))=0),"",SUMPRODUCT(SUBTOTAL(103,OFFSET(Table42[Part],ROW(Table42[Part])-ROW(CheckList!$C$3),0,1)),--(Table42[Part]=B43)))</f>
        <v>0</v>
      </c>
      <c r="J43" s="17">
        <f ca="1">IF(AND(Table21[[#This Row],[Type]]="Section",SUMPRODUCT(SUBTOTAL(103,OFFSET(Table42[Part],ROW(Table42[Part])-ROW(CheckList!$C$3),0,1)),--(Table42[Part]=B43))=0),"",SUMPRODUCT(SUBTOTAL(103,OFFSET(Table42[Part],ROW(Table42[Part])-ROW(CheckList!$C$3),0,1)),--(Table42[Column1]=D43)))</f>
        <v>0</v>
      </c>
      <c r="K43" s="32">
        <f ca="1">IF(AND(Table21[[#This Row],[Type]]="Section",SUMPRODUCT(SUBTOTAL(103,OFFSET(Table42[Part],ROW(Table42[Part])-ROW(CheckList!$C$3),0,1)),--(Table42[Part]=B43))=0),"",IF(I43=0,1,(J43/I43)))</f>
        <v>1</v>
      </c>
    </row>
    <row r="44" spans="2:11" s="7" customFormat="1" ht="14.25" hidden="1" customHeight="1" x14ac:dyDescent="0.25">
      <c r="B44" s="28" t="s">
        <v>94</v>
      </c>
      <c r="C44" s="16"/>
      <c r="D44" s="16" t="str">
        <f t="shared" si="0"/>
        <v>2.2.3 Expected Behavior on Each Input Data Type Checked</v>
      </c>
      <c r="E44" s="86" t="s">
        <v>122</v>
      </c>
      <c r="F44" s="86" t="s">
        <v>122</v>
      </c>
      <c r="G44" s="86"/>
      <c r="H44" s="86"/>
      <c r="I44" s="17">
        <f ca="1">IF(AND(Table21[[#This Row],[Type]]="Section",SUMPRODUCT(SUBTOTAL(103,OFFSET(Table42[Part],ROW(Table42[Part])-ROW(CheckList!$C$3),0,1)),--(Table42[Part]=B44))=0),"",SUMPRODUCT(SUBTOTAL(103,OFFSET(Table42[Part],ROW(Table42[Part])-ROW(CheckList!$C$3),0,1)),--(Table42[Part]=B44)))</f>
        <v>0</v>
      </c>
      <c r="J44" s="17">
        <f ca="1">IF(AND(Table21[[#This Row],[Type]]="Section",SUMPRODUCT(SUBTOTAL(103,OFFSET(Table42[Part],ROW(Table42[Part])-ROW(CheckList!$C$3),0,1)),--(Table42[Part]=B44))=0),"",SUMPRODUCT(SUBTOTAL(103,OFFSET(Table42[Part],ROW(Table42[Part])-ROW(CheckList!$C$3),0,1)),--(Table42[Column1]=D44)))</f>
        <v>0</v>
      </c>
      <c r="K44" s="32">
        <f ca="1">IF(AND(Table21[[#This Row],[Type]]="Section",SUMPRODUCT(SUBTOTAL(103,OFFSET(Table42[Part],ROW(Table42[Part])-ROW(CheckList!$C$3),0,1)),--(Table42[Part]=B44))=0),"",IF(I44=0,1,(J44/I44)))</f>
        <v>1</v>
      </c>
    </row>
    <row r="45" spans="2:11" s="7" customFormat="1" ht="14.25" hidden="1" customHeight="1" x14ac:dyDescent="0.25">
      <c r="B45" s="28" t="s">
        <v>67</v>
      </c>
      <c r="C45" s="16"/>
      <c r="D45" s="16" t="str">
        <f t="shared" si="0"/>
        <v>2.3 User Experience and Interactions Checked</v>
      </c>
      <c r="E45" s="86" t="s">
        <v>122</v>
      </c>
      <c r="F45" s="86" t="s">
        <v>122</v>
      </c>
      <c r="G45" s="86"/>
      <c r="H45" s="86"/>
      <c r="I45" s="17">
        <f ca="1">IF(AND(Table21[[#This Row],[Type]]="Section",SUMPRODUCT(SUBTOTAL(103,OFFSET(Table42[Part],ROW(Table42[Part])-ROW(CheckList!$C$3),0,1)),--(Table42[Part]=B45))=0),"",SUMPRODUCT(SUBTOTAL(103,OFFSET(Table42[Part],ROW(Table42[Part])-ROW(CheckList!$C$3),0,1)),--(Table42[Part]=B45)))</f>
        <v>0</v>
      </c>
      <c r="J45" s="17">
        <f ca="1">IF(AND(Table21[[#This Row],[Type]]="Section",SUMPRODUCT(SUBTOTAL(103,OFFSET(Table42[Part],ROW(Table42[Part])-ROW(CheckList!$C$3),0,1)),--(Table42[Part]=B45))=0),"",SUMPRODUCT(SUBTOTAL(103,OFFSET(Table42[Part],ROW(Table42[Part])-ROW(CheckList!$C$3),0,1)),--(Table42[Column1]=D45)))</f>
        <v>0</v>
      </c>
      <c r="K45" s="32">
        <f ca="1">IF(AND(Table21[[#This Row],[Type]]="Section",SUMPRODUCT(SUBTOTAL(103,OFFSET(Table42[Part],ROW(Table42[Part])-ROW(CheckList!$C$3),0,1)),--(Table42[Part]=B45))=0),"",IF(I45=0,1,(J45/I45)))</f>
        <v>1</v>
      </c>
    </row>
    <row r="46" spans="2:11" s="7" customFormat="1" ht="14.25" hidden="1" customHeight="1" x14ac:dyDescent="0.25">
      <c r="B46" s="28" t="s">
        <v>68</v>
      </c>
      <c r="C46" s="16"/>
      <c r="D46" s="16" t="str">
        <f t="shared" si="0"/>
        <v>2.4 Customization by end user or administrator Checked</v>
      </c>
      <c r="E46" s="86" t="s">
        <v>122</v>
      </c>
      <c r="F46" s="86" t="s">
        <v>122</v>
      </c>
      <c r="G46" s="86"/>
      <c r="H46" s="86"/>
      <c r="I46" s="20">
        <f ca="1">IF(AND(Table21[[#This Row],[Type]]="Section",SUMPRODUCT(SUBTOTAL(103,OFFSET(Table42[Part],ROW(Table42[Part])-ROW(CheckList!$C$3),0,1)),--(Table42[Part]=B46))=0),"",SUMPRODUCT(SUBTOTAL(103,OFFSET(Table42[Part],ROW(Table42[Part])-ROW(CheckList!$C$3),0,1)),--(Table42[Part]=B46)))</f>
        <v>0</v>
      </c>
      <c r="J46" s="20">
        <f ca="1">IF(AND(Table21[[#This Row],[Type]]="Section",SUMPRODUCT(SUBTOTAL(103,OFFSET(Table42[Part],ROW(Table42[Part])-ROW(CheckList!$C$3),0,1)),--(Table42[Part]=B46))=0),"",SUMPRODUCT(SUBTOTAL(103,OFFSET(Table42[Part],ROW(Table42[Part])-ROW(CheckList!$C$3),0,1)),--(Table42[Column1]=D46)))</f>
        <v>0</v>
      </c>
      <c r="K46" s="29">
        <f ca="1">IF(AND(Table21[[#This Row],[Type]]="Section",SUMPRODUCT(SUBTOTAL(103,OFFSET(Table42[Part],ROW(Table42[Part])-ROW(CheckList!$C$3),0,1)),--(Table42[Part]=B46))=0),"",IF(I46=0,1,(J46/I46)))</f>
        <v>1</v>
      </c>
    </row>
    <row r="47" spans="2:11" s="7" customFormat="1" ht="14.25" hidden="1" customHeight="1" x14ac:dyDescent="0.25">
      <c r="B47" s="28" t="s">
        <v>69</v>
      </c>
      <c r="C47" s="16"/>
      <c r="D47" s="16" t="str">
        <f t="shared" si="0"/>
        <v>2.5 Programming Interface Checked</v>
      </c>
      <c r="E47" s="86" t="s">
        <v>122</v>
      </c>
      <c r="F47" s="86" t="s">
        <v>122</v>
      </c>
      <c r="G47" s="86"/>
      <c r="H47" s="86"/>
      <c r="I47" s="20">
        <f ca="1">IF(AND(Table21[[#This Row],[Type]]="Section",SUMPRODUCT(SUBTOTAL(103,OFFSET(Table42[Part],ROW(Table42[Part])-ROW(CheckList!$C$3),0,1)),--(Table42[Part]=B47))=0),"",SUMPRODUCT(SUBTOTAL(103,OFFSET(Table42[Part],ROW(Table42[Part])-ROW(CheckList!$C$3),0,1)),--(Table42[Part]=B47)))</f>
        <v>0</v>
      </c>
      <c r="J47" s="20">
        <f ca="1">IF(AND(Table21[[#This Row],[Type]]="Section",SUMPRODUCT(SUBTOTAL(103,OFFSET(Table42[Part],ROW(Table42[Part])-ROW(CheckList!$C$3),0,1)),--(Table42[Part]=B47))=0),"",SUMPRODUCT(SUBTOTAL(103,OFFSET(Table42[Part],ROW(Table42[Part])-ROW(CheckList!$C$3),0,1)),--(Table42[Column1]=D47)))</f>
        <v>0</v>
      </c>
      <c r="K47" s="29">
        <f ca="1">IF(AND(Table21[[#This Row],[Type]]="Section",SUMPRODUCT(SUBTOTAL(103,OFFSET(Table42[Part],ROW(Table42[Part])-ROW(CheckList!$C$3),0,1)),--(Table42[Part]=B47))=0),"",IF(I47=0,1,(J47/I47)))</f>
        <v>1</v>
      </c>
    </row>
    <row r="48" spans="2:11" s="7" customFormat="1" ht="14.25" hidden="1" customHeight="1" x14ac:dyDescent="0.25">
      <c r="B48" s="28" t="s">
        <v>70</v>
      </c>
      <c r="C48" s="16"/>
      <c r="D48" s="16" t="str">
        <f t="shared" si="0"/>
        <v>2.5.1 Detailed API description Checked</v>
      </c>
      <c r="E48" s="86" t="s">
        <v>122</v>
      </c>
      <c r="F48" s="86" t="s">
        <v>122</v>
      </c>
      <c r="G48" s="86"/>
      <c r="H48" s="86"/>
      <c r="I48" s="20">
        <f ca="1">IF(AND(Table21[[#This Row],[Type]]="Section",SUMPRODUCT(SUBTOTAL(103,OFFSET(Table42[Part],ROW(Table42[Part])-ROW(CheckList!$C$3),0,1)),--(Table42[Part]=B48))=0),"",SUMPRODUCT(SUBTOTAL(103,OFFSET(Table42[Part],ROW(Table42[Part])-ROW(CheckList!$C$3),0,1)),--(Table42[Part]=B48)))</f>
        <v>0</v>
      </c>
      <c r="J48" s="20">
        <f ca="1">IF(AND(Table21[[#This Row],[Type]]="Section",SUMPRODUCT(SUBTOTAL(103,OFFSET(Table42[Part],ROW(Table42[Part])-ROW(CheckList!$C$3),0,1)),--(Table42[Part]=B48))=0),"",SUMPRODUCT(SUBTOTAL(103,OFFSET(Table42[Part],ROW(Table42[Part])-ROW(CheckList!$C$3),0,1)),--(Table42[Column1]=D48)))</f>
        <v>0</v>
      </c>
      <c r="K48" s="29">
        <f ca="1">IF(AND(Table21[[#This Row],[Type]]="Section",SUMPRODUCT(SUBTOTAL(103,OFFSET(Table42[Part],ROW(Table42[Part])-ROW(CheckList!$C$3),0,1)),--(Table42[Part]=B48))=0),"",IF(I48=0,1,(J48/I48)))</f>
        <v>1</v>
      </c>
    </row>
    <row r="49" spans="2:11" s="7" customFormat="1" ht="14.25" hidden="1" customHeight="1" x14ac:dyDescent="0.25">
      <c r="B49" s="28" t="s">
        <v>71</v>
      </c>
      <c r="C49" s="16"/>
      <c r="D49" s="16" t="str">
        <f t="shared" si="0"/>
        <v>2.5.2 Automation for command journaling Checked</v>
      </c>
      <c r="E49" s="86" t="s">
        <v>122</v>
      </c>
      <c r="F49" s="86" t="s">
        <v>122</v>
      </c>
      <c r="G49" s="86"/>
      <c r="H49" s="86"/>
      <c r="I49" s="20">
        <f ca="1">IF(AND(Table21[[#This Row],[Type]]="Section",SUMPRODUCT(SUBTOTAL(103,OFFSET(Table42[Part],ROW(Table42[Part])-ROW(CheckList!$C$3),0,1)),--(Table42[Part]=B49))=0),"",SUMPRODUCT(SUBTOTAL(103,OFFSET(Table42[Part],ROW(Table42[Part])-ROW(CheckList!$C$3),0,1)),--(Table42[Part]=B49)))</f>
        <v>0</v>
      </c>
      <c r="J49" s="20">
        <f ca="1">IF(AND(Table21[[#This Row],[Type]]="Section",SUMPRODUCT(SUBTOTAL(103,OFFSET(Table42[Part],ROW(Table42[Part])-ROW(CheckList!$C$3),0,1)),--(Table42[Part]=B49))=0),"",SUMPRODUCT(SUBTOTAL(103,OFFSET(Table42[Part],ROW(Table42[Part])-ROW(CheckList!$C$3),0,1)),--(Table42[Column1]=D49)))</f>
        <v>0</v>
      </c>
      <c r="K49" s="29">
        <f ca="1">IF(AND(Table21[[#This Row],[Type]]="Section",SUMPRODUCT(SUBTOTAL(103,OFFSET(Table42[Part],ROW(Table42[Part])-ROW(CheckList!$C$3),0,1)),--(Table42[Part]=B49))=0),"",IF(I49=0,1,(J49/I49)))</f>
        <v>1</v>
      </c>
    </row>
    <row r="50" spans="2:11" s="7" customFormat="1" ht="13.5" hidden="1" customHeight="1" x14ac:dyDescent="0.25">
      <c r="B50" s="28" t="s">
        <v>72</v>
      </c>
      <c r="C50" s="16"/>
      <c r="D50" s="16" t="str">
        <f t="shared" si="0"/>
        <v>2.6 Performance, Capacity and Scalability (PCS) Checked</v>
      </c>
      <c r="E50" s="86" t="s">
        <v>122</v>
      </c>
      <c r="F50" s="86" t="s">
        <v>122</v>
      </c>
      <c r="G50" s="86"/>
      <c r="H50" s="86"/>
      <c r="I50" s="17">
        <f ca="1">IF(AND(Table21[[#This Row],[Type]]="Section",SUMPRODUCT(SUBTOTAL(103,OFFSET(Table42[Part],ROW(Table42[Part])-ROW(CheckList!$C$3),0,1)),--(Table42[Part]=B50))=0),"",SUMPRODUCT(SUBTOTAL(103,OFFSET(Table42[Part],ROW(Table42[Part])-ROW(CheckList!$C$3),0,1)),--(Table42[Part]=B50)))</f>
        <v>0</v>
      </c>
      <c r="J50" s="17">
        <f ca="1">IF(AND(Table21[[#This Row],[Type]]="Section",SUMPRODUCT(SUBTOTAL(103,OFFSET(Table42[Part],ROW(Table42[Part])-ROW(CheckList!$C$3),0,1)),--(Table42[Part]=B50))=0),"",SUMPRODUCT(SUBTOTAL(103,OFFSET(Table42[Part],ROW(Table42[Part])-ROW(CheckList!$C$3),0,1)),--(Table42[Column1]=D50)))</f>
        <v>0</v>
      </c>
      <c r="K50" s="32">
        <f ca="1">IF(AND(Table21[[#This Row],[Type]]="Section",SUMPRODUCT(SUBTOTAL(103,OFFSET(Table42[Part],ROW(Table42[Part])-ROW(CheckList!$C$3),0,1)),--(Table42[Part]=B50))=0),"",IF(I50=0,1,(J50/I50)))</f>
        <v>1</v>
      </c>
    </row>
    <row r="51" spans="2:11" s="7" customFormat="1" ht="14.25" hidden="1" customHeight="1" x14ac:dyDescent="0.25">
      <c r="B51" s="28" t="s">
        <v>73</v>
      </c>
      <c r="C51" s="16"/>
      <c r="D51" s="16" t="str">
        <f t="shared" si="0"/>
        <v>2.7 Schema or other changes impacting multi-release compatibility Checked</v>
      </c>
      <c r="E51" s="86" t="s">
        <v>122</v>
      </c>
      <c r="F51" s="86" t="s">
        <v>122</v>
      </c>
      <c r="G51" s="86"/>
      <c r="H51" s="86"/>
      <c r="I51" s="17">
        <f ca="1">IF(AND(Table21[[#This Row],[Type]]="Section",SUMPRODUCT(SUBTOTAL(103,OFFSET(Table42[Part],ROW(Table42[Part])-ROW(CheckList!$C$3),0,1)),--(Table42[Part]=B51))=0),"",SUMPRODUCT(SUBTOTAL(103,OFFSET(Table42[Part],ROW(Table42[Part])-ROW(CheckList!$C$3),0,1)),--(Table42[Part]=B51)))</f>
        <v>0</v>
      </c>
      <c r="J51" s="17">
        <f ca="1">IF(AND(Table21[[#This Row],[Type]]="Section",SUMPRODUCT(SUBTOTAL(103,OFFSET(Table42[Part],ROW(Table42[Part])-ROW(CheckList!$C$3),0,1)),--(Table42[Part]=B51))=0),"",SUMPRODUCT(SUBTOTAL(103,OFFSET(Table42[Part],ROW(Table42[Part])-ROW(CheckList!$C$3),0,1)),--(Table42[Column1]=D51)))</f>
        <v>0</v>
      </c>
      <c r="K51" s="32">
        <f ca="1">IF(AND(Table21[[#This Row],[Type]]="Section",SUMPRODUCT(SUBTOTAL(103,OFFSET(Table42[Part],ROW(Table42[Part])-ROW(CheckList!$C$3),0,1)),--(Table42[Part]=B51))=0),"",IF(I51=0,1,(J51/I51)))</f>
        <v>1</v>
      </c>
    </row>
    <row r="52" spans="2:11" s="7" customFormat="1" ht="14.25" hidden="1" customHeight="1" x14ac:dyDescent="0.25">
      <c r="B52" s="28" t="s">
        <v>74</v>
      </c>
      <c r="C52" s="16"/>
      <c r="D52" s="16" t="str">
        <f t="shared" si="0"/>
        <v>2.8 Security Controls Checked</v>
      </c>
      <c r="E52" s="86" t="s">
        <v>122</v>
      </c>
      <c r="F52" s="86" t="s">
        <v>122</v>
      </c>
      <c r="G52" s="86"/>
      <c r="H52" s="86"/>
      <c r="I52" s="17">
        <f ca="1">IF(AND(Table21[[#This Row],[Type]]="Section",SUMPRODUCT(SUBTOTAL(103,OFFSET(Table42[Part],ROW(Table42[Part])-ROW(CheckList!$C$3),0,1)),--(Table42[Part]=B52))=0),"",SUMPRODUCT(SUBTOTAL(103,OFFSET(Table42[Part],ROW(Table42[Part])-ROW(CheckList!$C$3),0,1)),--(Table42[Part]=B52)))</f>
        <v>0</v>
      </c>
      <c r="J52" s="17">
        <f ca="1">IF(AND(Table21[[#This Row],[Type]]="Section",SUMPRODUCT(SUBTOTAL(103,OFFSET(Table42[Part],ROW(Table42[Part])-ROW(CheckList!$C$3),0,1)),--(Table42[Part]=B52))=0),"",SUMPRODUCT(SUBTOTAL(103,OFFSET(Table42[Part],ROW(Table42[Part])-ROW(CheckList!$C$3),0,1)),--(Table42[Column1]=D52)))</f>
        <v>0</v>
      </c>
      <c r="K52" s="32">
        <f ca="1">IF(AND(Table21[[#This Row],[Type]]="Section",SUMPRODUCT(SUBTOTAL(103,OFFSET(Table42[Part],ROW(Table42[Part])-ROW(CheckList!$C$3),0,1)),--(Table42[Part]=B52))=0),"",IF(I52=0,1,(J52/I52)))</f>
        <v>1</v>
      </c>
    </row>
    <row r="53" spans="2:11" s="7" customFormat="1" ht="14.25" hidden="1" customHeight="1" x14ac:dyDescent="0.25">
      <c r="B53" s="28" t="s">
        <v>75</v>
      </c>
      <c r="C53" s="16"/>
      <c r="D53" s="16" t="str">
        <f t="shared" si="0"/>
        <v>2.8.1 Confidentiality Checked</v>
      </c>
      <c r="E53" s="86" t="s">
        <v>122</v>
      </c>
      <c r="F53" s="86" t="s">
        <v>122</v>
      </c>
      <c r="G53" s="86"/>
      <c r="H53" s="86"/>
      <c r="I53" s="17">
        <f ca="1">IF(AND(Table21[[#This Row],[Type]]="Section",SUMPRODUCT(SUBTOTAL(103,OFFSET(Table42[Part],ROW(Table42[Part])-ROW(CheckList!$C$3),0,1)),--(Table42[Part]=B53))=0),"",SUMPRODUCT(SUBTOTAL(103,OFFSET(Table42[Part],ROW(Table42[Part])-ROW(CheckList!$C$3),0,1)),--(Table42[Part]=B53)))</f>
        <v>0</v>
      </c>
      <c r="J53" s="17">
        <f ca="1">IF(AND(Table21[[#This Row],[Type]]="Section",SUMPRODUCT(SUBTOTAL(103,OFFSET(Table42[Part],ROW(Table42[Part])-ROW(CheckList!$C$3),0,1)),--(Table42[Part]=B53))=0),"",SUMPRODUCT(SUBTOTAL(103,OFFSET(Table42[Part],ROW(Table42[Part])-ROW(CheckList!$C$3),0,1)),--(Table42[Column1]=D53)))</f>
        <v>0</v>
      </c>
      <c r="K53" s="32">
        <f ca="1">IF(AND(Table21[[#This Row],[Type]]="Section",SUMPRODUCT(SUBTOTAL(103,OFFSET(Table42[Part],ROW(Table42[Part])-ROW(CheckList!$C$3),0,1)),--(Table42[Part]=B53))=0),"",IF(I53=0,1,(J53/I53)))</f>
        <v>1</v>
      </c>
    </row>
    <row r="54" spans="2:11" s="7" customFormat="1" ht="14.25" hidden="1" customHeight="1" x14ac:dyDescent="0.25">
      <c r="B54" s="28" t="s">
        <v>76</v>
      </c>
      <c r="C54" s="16"/>
      <c r="D54" s="16" t="str">
        <f t="shared" si="0"/>
        <v>2.8.2 Integrity Checked</v>
      </c>
      <c r="E54" s="86" t="s">
        <v>122</v>
      </c>
      <c r="F54" s="86" t="s">
        <v>122</v>
      </c>
      <c r="G54" s="86"/>
      <c r="H54" s="86"/>
      <c r="I54" s="17">
        <f ca="1">IF(AND(Table21[[#This Row],[Type]]="Section",SUMPRODUCT(SUBTOTAL(103,OFFSET(Table42[Part],ROW(Table42[Part])-ROW(CheckList!$C$3),0,1)),--(Table42[Part]=B54))=0),"",SUMPRODUCT(SUBTOTAL(103,OFFSET(Table42[Part],ROW(Table42[Part])-ROW(CheckList!$C$3),0,1)),--(Table42[Part]=B54)))</f>
        <v>0</v>
      </c>
      <c r="J54" s="17">
        <f ca="1">IF(AND(Table21[[#This Row],[Type]]="Section",SUMPRODUCT(SUBTOTAL(103,OFFSET(Table42[Part],ROW(Table42[Part])-ROW(CheckList!$C$3),0,1)),--(Table42[Part]=B54))=0),"",SUMPRODUCT(SUBTOTAL(103,OFFSET(Table42[Part],ROW(Table42[Part])-ROW(CheckList!$C$3),0,1)),--(Table42[Column1]=D54)))</f>
        <v>0</v>
      </c>
      <c r="K54" s="32">
        <f ca="1">IF(AND(Table21[[#This Row],[Type]]="Section",SUMPRODUCT(SUBTOTAL(103,OFFSET(Table42[Part],ROW(Table42[Part])-ROW(CheckList!$C$3),0,1)),--(Table42[Part]=B54))=0),"",IF(I54=0,1,(J54/I54)))</f>
        <v>1</v>
      </c>
    </row>
    <row r="55" spans="2:11" s="7" customFormat="1" ht="14.25" hidden="1" customHeight="1" x14ac:dyDescent="0.25">
      <c r="B55" s="28" t="s">
        <v>77</v>
      </c>
      <c r="C55" s="16"/>
      <c r="D55" s="16" t="str">
        <f t="shared" si="0"/>
        <v>2.8.3 Availability Checked</v>
      </c>
      <c r="E55" s="86" t="s">
        <v>122</v>
      </c>
      <c r="F55" s="86" t="s">
        <v>122</v>
      </c>
      <c r="G55" s="86"/>
      <c r="H55" s="86"/>
      <c r="I55" s="17">
        <f ca="1">IF(AND(Table21[[#This Row],[Type]]="Section",SUMPRODUCT(SUBTOTAL(103,OFFSET(Table42[Part],ROW(Table42[Part])-ROW(CheckList!$C$3),0,1)),--(Table42[Part]=B55))=0),"",SUMPRODUCT(SUBTOTAL(103,OFFSET(Table42[Part],ROW(Table42[Part])-ROW(CheckList!$C$3),0,1)),--(Table42[Part]=B55)))</f>
        <v>0</v>
      </c>
      <c r="J55" s="17">
        <f ca="1">IF(AND(Table21[[#This Row],[Type]]="Section",SUMPRODUCT(SUBTOTAL(103,OFFSET(Table42[Part],ROW(Table42[Part])-ROW(CheckList!$C$3),0,1)),--(Table42[Part]=B55))=0),"",SUMPRODUCT(SUBTOTAL(103,OFFSET(Table42[Part],ROW(Table42[Part])-ROW(CheckList!$C$3),0,1)),--(Table42[Column1]=D55)))</f>
        <v>0</v>
      </c>
      <c r="K55" s="32">
        <f ca="1">IF(AND(Table21[[#This Row],[Type]]="Section",SUMPRODUCT(SUBTOTAL(103,OFFSET(Table42[Part],ROW(Table42[Part])-ROW(CheckList!$C$3),0,1)),--(Table42[Part]=B55))=0),"",IF(I55=0,1,(J55/I55)))</f>
        <v>1</v>
      </c>
    </row>
    <row r="56" spans="2:11" s="7" customFormat="1" ht="14.25" hidden="1" customHeight="1" x14ac:dyDescent="0.25">
      <c r="B56" s="28" t="s">
        <v>78</v>
      </c>
      <c r="C56" s="16"/>
      <c r="D56" s="16" t="str">
        <f t="shared" si="0"/>
        <v>2.8.4 Authentication Checked</v>
      </c>
      <c r="E56" s="86" t="s">
        <v>122</v>
      </c>
      <c r="F56" s="86" t="s">
        <v>122</v>
      </c>
      <c r="G56" s="86"/>
      <c r="H56" s="86"/>
      <c r="I56" s="17">
        <f ca="1">IF(AND(Table21[[#This Row],[Type]]="Section",SUMPRODUCT(SUBTOTAL(103,OFFSET(Table42[Part],ROW(Table42[Part])-ROW(CheckList!$C$3),0,1)),--(Table42[Part]=B56))=0),"",SUMPRODUCT(SUBTOTAL(103,OFFSET(Table42[Part],ROW(Table42[Part])-ROW(CheckList!$C$3),0,1)),--(Table42[Part]=B56)))</f>
        <v>0</v>
      </c>
      <c r="J56" s="17">
        <f ca="1">IF(AND(Table21[[#This Row],[Type]]="Section",SUMPRODUCT(SUBTOTAL(103,OFFSET(Table42[Part],ROW(Table42[Part])-ROW(CheckList!$C$3),0,1)),--(Table42[Part]=B56))=0),"",SUMPRODUCT(SUBTOTAL(103,OFFSET(Table42[Part],ROW(Table42[Part])-ROW(CheckList!$C$3),0,1)),--(Table42[Column1]=D56)))</f>
        <v>0</v>
      </c>
      <c r="K56" s="32">
        <f ca="1">IF(AND(Table21[[#This Row],[Type]]="Section",SUMPRODUCT(SUBTOTAL(103,OFFSET(Table42[Part],ROW(Table42[Part])-ROW(CheckList!$C$3),0,1)),--(Table42[Part]=B56))=0),"",IF(I56=0,1,(J56/I56)))</f>
        <v>1</v>
      </c>
    </row>
    <row r="57" spans="2:11" s="7" customFormat="1" ht="14.25" hidden="1" customHeight="1" x14ac:dyDescent="0.25">
      <c r="B57" s="28" t="s">
        <v>79</v>
      </c>
      <c r="C57" s="16"/>
      <c r="D57" s="16" t="str">
        <f t="shared" si="0"/>
        <v>2.8.5 Authorization Checked</v>
      </c>
      <c r="E57" s="86" t="s">
        <v>122</v>
      </c>
      <c r="F57" s="86" t="s">
        <v>122</v>
      </c>
      <c r="G57" s="86"/>
      <c r="H57" s="86"/>
      <c r="I57" s="17">
        <f ca="1">IF(AND(Table21[[#This Row],[Type]]="Section",SUMPRODUCT(SUBTOTAL(103,OFFSET(Table42[Part],ROW(Table42[Part])-ROW(CheckList!$C$3),0,1)),--(Table42[Part]=B57))=0),"",SUMPRODUCT(SUBTOTAL(103,OFFSET(Table42[Part],ROW(Table42[Part])-ROW(CheckList!$C$3),0,1)),--(Table42[Part]=B57)))</f>
        <v>0</v>
      </c>
      <c r="J57" s="17">
        <f ca="1">IF(AND(Table21[[#This Row],[Type]]="Section",SUMPRODUCT(SUBTOTAL(103,OFFSET(Table42[Part],ROW(Table42[Part])-ROW(CheckList!$C$3),0,1)),--(Table42[Part]=B57))=0),"",SUMPRODUCT(SUBTOTAL(103,OFFSET(Table42[Part],ROW(Table42[Part])-ROW(CheckList!$C$3),0,1)),--(Table42[Column1]=D57)))</f>
        <v>0</v>
      </c>
      <c r="K57" s="32">
        <f ca="1">IF(AND(Table21[[#This Row],[Type]]="Section",SUMPRODUCT(SUBTOTAL(103,OFFSET(Table42[Part],ROW(Table42[Part])-ROW(CheckList!$C$3),0,1)),--(Table42[Part]=B57))=0),"",IF(I57=0,1,(J57/I57)))</f>
        <v>1</v>
      </c>
    </row>
    <row r="58" spans="2:11" s="7" customFormat="1" ht="14.25" hidden="1" customHeight="1" x14ac:dyDescent="0.25">
      <c r="B58" s="30" t="s">
        <v>59</v>
      </c>
      <c r="C58" s="12" t="s">
        <v>11</v>
      </c>
      <c r="D58" s="12" t="str">
        <f t="shared" si="0"/>
        <v>3. Detailed Limitations Checked</v>
      </c>
      <c r="E58" s="12" t="s">
        <v>122</v>
      </c>
      <c r="F58" s="12" t="s">
        <v>122</v>
      </c>
      <c r="G58" s="12"/>
      <c r="H58" s="12"/>
      <c r="I58" s="89" t="str">
        <f ca="1">IF(AND(Table21[[#This Row],[Type]]="Section",SUMPRODUCT(SUBTOTAL(103,OFFSET(Table42[Part],ROW(Table42[Part])-ROW(CheckList!$C$3),0,1)),--(Table42[Part]=B58))=0),"",SUMPRODUCT(SUBTOTAL(103,OFFSET(Table42[Part],ROW(Table42[Part])-ROW(CheckList!$C$3),0,1)),--(Table42[Part]=B58)))</f>
        <v/>
      </c>
      <c r="J58" s="90" t="str">
        <f ca="1">IF(AND(Table21[[#This Row],[Type]]="Section",SUMPRODUCT(SUBTOTAL(103,OFFSET(Table42[Part],ROW(Table42[Part])-ROW(CheckList!$C$3),0,1)),--(Table42[Part]=B58))=0),"",SUMPRODUCT(SUBTOTAL(103,OFFSET(Table42[Part],ROW(Table42[Part])-ROW(CheckList!$C$3),0,1)),--(Table42[Column1]=D58)))</f>
        <v/>
      </c>
      <c r="K58" s="45" t="str">
        <f ca="1">IF(AND(Table21[[#This Row],[Type]]="Section",SUMPRODUCT(SUBTOTAL(103,OFFSET(Table42[Part],ROW(Table42[Part])-ROW(CheckList!$C$3),0,1)),--(Table42[Part]=B58))=0),"",IF(I58=0,1,(J58/I58)))</f>
        <v/>
      </c>
    </row>
    <row r="59" spans="2:11" s="7" customFormat="1" ht="14.25" customHeight="1" x14ac:dyDescent="0.25">
      <c r="B59" s="30" t="s">
        <v>190</v>
      </c>
      <c r="C59" s="12" t="s">
        <v>11</v>
      </c>
      <c r="D59" s="12" t="str">
        <f t="shared" si="0"/>
        <v>Section 3. Quality of services Checked</v>
      </c>
      <c r="E59" s="12"/>
      <c r="F59" s="12"/>
      <c r="G59" s="12" t="s">
        <v>122</v>
      </c>
      <c r="H59" s="12" t="s">
        <v>122</v>
      </c>
      <c r="I59" s="21" t="str">
        <f ca="1">IF(AND(Table21[[#This Row],[Type]]="Section",SUMPRODUCT(SUBTOTAL(103,OFFSET(Table42[Part],ROW(Table42[Part])-ROW(CheckList!$C$3),0,1)),--(Table42[Part]=B59))=0),"",SUMPRODUCT(SUBTOTAL(103,OFFSET(Table42[Part],ROW(Table42[Part])-ROW(CheckList!$C$3),0,1)),--(Table42[Part]=B59)))</f>
        <v/>
      </c>
      <c r="J59" s="22" t="str">
        <f ca="1">IF(AND(Table21[[#This Row],[Type]]="Section",SUMPRODUCT(SUBTOTAL(103,OFFSET(Table42[Part],ROW(Table42[Part])-ROW(CheckList!$C$3),0,1)),--(Table42[Part]=B59))=0),"",SUMPRODUCT(SUBTOTAL(103,OFFSET(Table42[Part],ROW(Table42[Part])-ROW(CheckList!$C$3),0,1)),--(Table42[Column1]=D59)))</f>
        <v/>
      </c>
      <c r="K59" s="31" t="str">
        <f ca="1">IF(AND(Table21[[#This Row],[Type]]="Section",SUMPRODUCT(SUBTOTAL(103,OFFSET(Table42[Part],ROW(Table42[Part])-ROW(CheckList!$C$3),0,1)),--(Table42[Part]=B59))=0),"",IF(I59=0,1,(J59/I59)))</f>
        <v/>
      </c>
    </row>
    <row r="60" spans="2:11" s="7" customFormat="1" ht="14.25" customHeight="1" x14ac:dyDescent="0.25">
      <c r="B60" s="28" t="s">
        <v>204</v>
      </c>
      <c r="C60" s="16"/>
      <c r="D60" s="16" t="str">
        <f t="shared" si="0"/>
        <v>Section 3 - 1 Performance, capacity and scalability (PCS) Checked</v>
      </c>
      <c r="E60" s="86"/>
      <c r="F60" s="86"/>
      <c r="G60" s="86" t="s">
        <v>122</v>
      </c>
      <c r="H60" s="86" t="s">
        <v>122</v>
      </c>
      <c r="I60" s="20">
        <f ca="1">IF(AND(Table21[[#This Row],[Type]]="Section",SUMPRODUCT(SUBTOTAL(103,OFFSET(Table42[Part],ROW(Table42[Part])-ROW(CheckList!$C$3),0,1)),--(Table42[Part]=B60))=0),"",SUMPRODUCT(SUBTOTAL(103,OFFSET(Table42[Part],ROW(Table42[Part])-ROW(CheckList!$C$3),0,1)),--(Table42[Part]=B60)))</f>
        <v>5</v>
      </c>
      <c r="J60" s="20">
        <f ca="1">IF(AND(Table21[[#This Row],[Type]]="Section",SUMPRODUCT(SUBTOTAL(103,OFFSET(Table42[Part],ROW(Table42[Part])-ROW(CheckList!$C$3),0,1)),--(Table42[Part]=B60))=0),"",SUMPRODUCT(SUBTOTAL(103,OFFSET(Table42[Part],ROW(Table42[Part])-ROW(CheckList!$C$3),0,1)),--(Table42[Column1]=D60)))</f>
        <v>0</v>
      </c>
      <c r="K60" s="29">
        <f ca="1">IF(AND(Table21[[#This Row],[Type]]="Section",SUMPRODUCT(SUBTOTAL(103,OFFSET(Table42[Part],ROW(Table42[Part])-ROW(CheckList!$C$3),0,1)),--(Table42[Part]=B60))=0),"",IF(I60=0,1,(J60/I60)))</f>
        <v>0</v>
      </c>
    </row>
    <row r="61" spans="2:11" s="7" customFormat="1" ht="14.25" customHeight="1" x14ac:dyDescent="0.25">
      <c r="B61" s="46" t="s">
        <v>166</v>
      </c>
      <c r="C61" s="16"/>
      <c r="D61" s="16" t="str">
        <f t="shared" si="0"/>
        <v>Section 3 - 1.1 Performance objectives Checked</v>
      </c>
      <c r="E61" s="86"/>
      <c r="F61" s="86"/>
      <c r="G61" s="86" t="s">
        <v>122</v>
      </c>
      <c r="H61" s="86" t="s">
        <v>122</v>
      </c>
      <c r="I61" s="20">
        <f ca="1">IF(AND(Table21[[#This Row],[Type]]="Section",SUMPRODUCT(SUBTOTAL(103,OFFSET(Table42[Part],ROW(Table42[Part])-ROW(CheckList!$C$3),0,1)),--(Table42[Part]=B61))=0),"",SUMPRODUCT(SUBTOTAL(103,OFFSET(Table42[Part],ROW(Table42[Part])-ROW(CheckList!$C$3),0,1)),--(Table42[Part]=B61)))</f>
        <v>0</v>
      </c>
      <c r="J61" s="20">
        <f ca="1">IF(AND(Table21[[#This Row],[Type]]="Section",SUMPRODUCT(SUBTOTAL(103,OFFSET(Table42[Part],ROW(Table42[Part])-ROW(CheckList!$C$3),0,1)),--(Table42[Part]=B61))=0),"",SUMPRODUCT(SUBTOTAL(103,OFFSET(Table42[Part],ROW(Table42[Part])-ROW(CheckList!$C$3),0,1)),--(Table42[Column1]=D61)))</f>
        <v>0</v>
      </c>
      <c r="K61" s="29">
        <f ca="1">IF(AND(Table21[[#This Row],[Type]]="Section",SUMPRODUCT(SUBTOTAL(103,OFFSET(Table42[Part],ROW(Table42[Part])-ROW(CheckList!$C$3),0,1)),--(Table42[Part]=B61))=0),"",IF(I61=0,1,(J61/I61)))</f>
        <v>1</v>
      </c>
    </row>
    <row r="62" spans="2:11" s="7" customFormat="1" ht="14.25" customHeight="1" x14ac:dyDescent="0.25">
      <c r="B62" s="46" t="s">
        <v>167</v>
      </c>
      <c r="C62" s="16"/>
      <c r="D62" s="16" t="str">
        <f t="shared" si="0"/>
        <v>Section 3 - 1.2 Capacity objectives Checked</v>
      </c>
      <c r="E62" s="86"/>
      <c r="F62" s="86"/>
      <c r="G62" s="86" t="s">
        <v>122</v>
      </c>
      <c r="H62" s="86" t="s">
        <v>122</v>
      </c>
      <c r="I62" s="20">
        <f ca="1">IF(AND(Table21[[#This Row],[Type]]="Section",SUMPRODUCT(SUBTOTAL(103,OFFSET(Table42[Part],ROW(Table42[Part])-ROW(CheckList!$C$3),0,1)),--(Table42[Part]=B62))=0),"",SUMPRODUCT(SUBTOTAL(103,OFFSET(Table42[Part],ROW(Table42[Part])-ROW(CheckList!$C$3),0,1)),--(Table42[Part]=B62)))</f>
        <v>0</v>
      </c>
      <c r="J62" s="20">
        <f ca="1">IF(AND(Table21[[#This Row],[Type]]="Section",SUMPRODUCT(SUBTOTAL(103,OFFSET(Table42[Part],ROW(Table42[Part])-ROW(CheckList!$C$3),0,1)),--(Table42[Part]=B62))=0),"",SUMPRODUCT(SUBTOTAL(103,OFFSET(Table42[Part],ROW(Table42[Part])-ROW(CheckList!$C$3),0,1)),--(Table42[Column1]=D62)))</f>
        <v>0</v>
      </c>
      <c r="K62" s="29">
        <f ca="1">IF(AND(Table21[[#This Row],[Type]]="Section",SUMPRODUCT(SUBTOTAL(103,OFFSET(Table42[Part],ROW(Table42[Part])-ROW(CheckList!$C$3),0,1)),--(Table42[Part]=B62))=0),"",IF(I62=0,1,(J62/I62)))</f>
        <v>1</v>
      </c>
    </row>
    <row r="63" spans="2:11" s="7" customFormat="1" ht="14.25" customHeight="1" x14ac:dyDescent="0.25">
      <c r="B63" s="46" t="s">
        <v>168</v>
      </c>
      <c r="C63" s="16"/>
      <c r="D63" s="16" t="str">
        <f t="shared" si="0"/>
        <v>Section 3 - 1.3 Scalabillity objectives Checked</v>
      </c>
      <c r="E63" s="86"/>
      <c r="F63" s="86"/>
      <c r="G63" s="86" t="s">
        <v>122</v>
      </c>
      <c r="H63" s="86" t="s">
        <v>122</v>
      </c>
      <c r="I63" s="20">
        <f ca="1">IF(AND(Table21[[#This Row],[Type]]="Section",SUMPRODUCT(SUBTOTAL(103,OFFSET(Table42[Part],ROW(Table42[Part])-ROW(CheckList!$C$3),0,1)),--(Table42[Part]=B63))=0),"",SUMPRODUCT(SUBTOTAL(103,OFFSET(Table42[Part],ROW(Table42[Part])-ROW(CheckList!$C$3),0,1)),--(Table42[Part]=B63)))</f>
        <v>0</v>
      </c>
      <c r="J63" s="20">
        <f ca="1">IF(AND(Table21[[#This Row],[Type]]="Section",SUMPRODUCT(SUBTOTAL(103,OFFSET(Table42[Part],ROW(Table42[Part])-ROW(CheckList!$C$3),0,1)),--(Table42[Part]=B63))=0),"",SUMPRODUCT(SUBTOTAL(103,OFFSET(Table42[Part],ROW(Table42[Part])-ROW(CheckList!$C$3),0,1)),--(Table42[Column1]=D63)))</f>
        <v>0</v>
      </c>
      <c r="K63" s="29">
        <f ca="1">IF(AND(Table21[[#This Row],[Type]]="Section",SUMPRODUCT(SUBTOTAL(103,OFFSET(Table42[Part],ROW(Table42[Part])-ROW(CheckList!$C$3),0,1)),--(Table42[Part]=B63))=0),"",IF(I63=0,1,(J63/I63)))</f>
        <v>1</v>
      </c>
    </row>
    <row r="64" spans="2:11" s="7" customFormat="1" ht="14.25" customHeight="1" x14ac:dyDescent="0.25">
      <c r="B64" s="28" t="s">
        <v>169</v>
      </c>
      <c r="C64" s="16"/>
      <c r="D64" s="16" t="str">
        <f t="shared" si="0"/>
        <v>Section 3 - 2 Security Controls Checked</v>
      </c>
      <c r="E64" s="86"/>
      <c r="F64" s="86"/>
      <c r="G64" s="86" t="s">
        <v>122</v>
      </c>
      <c r="H64" s="86" t="s">
        <v>122</v>
      </c>
      <c r="I64" s="20">
        <f ca="1">IF(AND(Table21[[#This Row],[Type]]="Section",SUMPRODUCT(SUBTOTAL(103,OFFSET(Table42[Part],ROW(Table42[Part])-ROW(CheckList!$C$3),0,1)),--(Table42[Part]=B64))=0),"",SUMPRODUCT(SUBTOTAL(103,OFFSET(Table42[Part],ROW(Table42[Part])-ROW(CheckList!$C$3),0,1)),--(Table42[Part]=B64)))</f>
        <v>1</v>
      </c>
      <c r="J64" s="20">
        <f ca="1">IF(AND(Table21[[#This Row],[Type]]="Section",SUMPRODUCT(SUBTOTAL(103,OFFSET(Table42[Part],ROW(Table42[Part])-ROW(CheckList!$C$3),0,1)),--(Table42[Part]=B64))=0),"",SUMPRODUCT(SUBTOTAL(103,OFFSET(Table42[Part],ROW(Table42[Part])-ROW(CheckList!$C$3),0,1)),--(Table42[Column1]=D64)))</f>
        <v>0</v>
      </c>
      <c r="K64" s="29">
        <f ca="1">IF(AND(Table21[[#This Row],[Type]]="Section",SUMPRODUCT(SUBTOTAL(103,OFFSET(Table42[Part],ROW(Table42[Part])-ROW(CheckList!$C$3),0,1)),--(Table42[Part]=B64))=0),"",IF(I64=0,1,(J64/I64)))</f>
        <v>0</v>
      </c>
    </row>
    <row r="65" spans="2:11" s="7" customFormat="1" ht="14.25" customHeight="1" x14ac:dyDescent="0.25">
      <c r="B65" s="46" t="s">
        <v>170</v>
      </c>
      <c r="C65" s="16"/>
      <c r="D65" s="16" t="str">
        <f t="shared" si="0"/>
        <v>Section 3 - 2.1 Confidentiality Checked</v>
      </c>
      <c r="E65" s="86"/>
      <c r="F65" s="86"/>
      <c r="G65" s="86" t="s">
        <v>122</v>
      </c>
      <c r="H65" s="86" t="s">
        <v>122</v>
      </c>
      <c r="I65" s="20">
        <f ca="1">IF(AND(Table21[[#This Row],[Type]]="Section",SUMPRODUCT(SUBTOTAL(103,OFFSET(Table42[Part],ROW(Table42[Part])-ROW(CheckList!$C$3),0,1)),--(Table42[Part]=B65))=0),"",SUMPRODUCT(SUBTOTAL(103,OFFSET(Table42[Part],ROW(Table42[Part])-ROW(CheckList!$C$3),0,1)),--(Table42[Part]=B65)))</f>
        <v>0</v>
      </c>
      <c r="J65" s="20">
        <f ca="1">IF(AND(Table21[[#This Row],[Type]]="Section",SUMPRODUCT(SUBTOTAL(103,OFFSET(Table42[Part],ROW(Table42[Part])-ROW(CheckList!$C$3),0,1)),--(Table42[Part]=B65))=0),"",SUMPRODUCT(SUBTOTAL(103,OFFSET(Table42[Part],ROW(Table42[Part])-ROW(CheckList!$C$3),0,1)),--(Table42[Column1]=D65)))</f>
        <v>0</v>
      </c>
      <c r="K65" s="29">
        <f ca="1">IF(AND(Table21[[#This Row],[Type]]="Section",SUMPRODUCT(SUBTOTAL(103,OFFSET(Table42[Part],ROW(Table42[Part])-ROW(CheckList!$C$3),0,1)),--(Table42[Part]=B65))=0),"",IF(I65=0,1,(J65/I65)))</f>
        <v>1</v>
      </c>
    </row>
    <row r="66" spans="2:11" s="7" customFormat="1" ht="14.25" customHeight="1" x14ac:dyDescent="0.25">
      <c r="B66" s="46" t="s">
        <v>171</v>
      </c>
      <c r="C66" s="16"/>
      <c r="D66" s="16" t="str">
        <f t="shared" si="0"/>
        <v>Section 3 - 2.2 Integrity Checked</v>
      </c>
      <c r="E66" s="86"/>
      <c r="F66" s="86"/>
      <c r="G66" s="86" t="s">
        <v>122</v>
      </c>
      <c r="H66" s="86" t="s">
        <v>122</v>
      </c>
      <c r="I66" s="20">
        <f ca="1">IF(AND(Table21[[#This Row],[Type]]="Section",SUMPRODUCT(SUBTOTAL(103,OFFSET(Table42[Part],ROW(Table42[Part])-ROW(CheckList!$C$3),0,1)),--(Table42[Part]=B66))=0),"",SUMPRODUCT(SUBTOTAL(103,OFFSET(Table42[Part],ROW(Table42[Part])-ROW(CheckList!$C$3),0,1)),--(Table42[Part]=B66)))</f>
        <v>0</v>
      </c>
      <c r="J66" s="20">
        <f ca="1">IF(AND(Table21[[#This Row],[Type]]="Section",SUMPRODUCT(SUBTOTAL(103,OFFSET(Table42[Part],ROW(Table42[Part])-ROW(CheckList!$C$3),0,1)),--(Table42[Part]=B66))=0),"",SUMPRODUCT(SUBTOTAL(103,OFFSET(Table42[Part],ROW(Table42[Part])-ROW(CheckList!$C$3),0,1)),--(Table42[Column1]=D66)))</f>
        <v>0</v>
      </c>
      <c r="K66" s="29">
        <f ca="1">IF(AND(Table21[[#This Row],[Type]]="Section",SUMPRODUCT(SUBTOTAL(103,OFFSET(Table42[Part],ROW(Table42[Part])-ROW(CheckList!$C$3),0,1)),--(Table42[Part]=B66))=0),"",IF(I66=0,1,(J66/I66)))</f>
        <v>1</v>
      </c>
    </row>
    <row r="67" spans="2:11" s="7" customFormat="1" ht="14.25" customHeight="1" x14ac:dyDescent="0.25">
      <c r="B67" s="46" t="s">
        <v>172</v>
      </c>
      <c r="C67" s="16"/>
      <c r="D67" s="16" t="str">
        <f t="shared" si="0"/>
        <v>Section 3 - 2.3 Availability Checked</v>
      </c>
      <c r="E67" s="86"/>
      <c r="F67" s="86"/>
      <c r="G67" s="86" t="s">
        <v>122</v>
      </c>
      <c r="H67" s="86" t="s">
        <v>122</v>
      </c>
      <c r="I67" s="20">
        <f ca="1">IF(AND(Table21[[#This Row],[Type]]="Section",SUMPRODUCT(SUBTOTAL(103,OFFSET(Table42[Part],ROW(Table42[Part])-ROW(CheckList!$C$3),0,1)),--(Table42[Part]=B67))=0),"",SUMPRODUCT(SUBTOTAL(103,OFFSET(Table42[Part],ROW(Table42[Part])-ROW(CheckList!$C$3),0,1)),--(Table42[Part]=B67)))</f>
        <v>0</v>
      </c>
      <c r="J67" s="20">
        <f ca="1">IF(AND(Table21[[#This Row],[Type]]="Section",SUMPRODUCT(SUBTOTAL(103,OFFSET(Table42[Part],ROW(Table42[Part])-ROW(CheckList!$C$3),0,1)),--(Table42[Part]=B67))=0),"",SUMPRODUCT(SUBTOTAL(103,OFFSET(Table42[Part],ROW(Table42[Part])-ROW(CheckList!$C$3),0,1)),--(Table42[Column1]=D67)))</f>
        <v>0</v>
      </c>
      <c r="K67" s="29">
        <f ca="1">IF(AND(Table21[[#This Row],[Type]]="Section",SUMPRODUCT(SUBTOTAL(103,OFFSET(Table42[Part],ROW(Table42[Part])-ROW(CheckList!$C$3),0,1)),--(Table42[Part]=B67))=0),"",IF(I67=0,1,(J67/I67)))</f>
        <v>1</v>
      </c>
    </row>
    <row r="68" spans="2:11" s="7" customFormat="1" ht="14.25" customHeight="1" x14ac:dyDescent="0.25">
      <c r="B68" s="46" t="s">
        <v>205</v>
      </c>
      <c r="C68" s="16"/>
      <c r="D68" s="16" t="str">
        <f t="shared" si="0"/>
        <v>Section 3 - 2.4 Authentication Checked</v>
      </c>
      <c r="E68" s="86"/>
      <c r="F68" s="86"/>
      <c r="G68" s="86" t="s">
        <v>122</v>
      </c>
      <c r="H68" s="86" t="s">
        <v>122</v>
      </c>
      <c r="I68" s="20">
        <f ca="1">IF(AND(Table21[[#This Row],[Type]]="Section",SUMPRODUCT(SUBTOTAL(103,OFFSET(Table42[Part],ROW(Table42[Part])-ROW(CheckList!$C$3),0,1)),--(Table42[Part]=B68))=0),"",SUMPRODUCT(SUBTOTAL(103,OFFSET(Table42[Part],ROW(Table42[Part])-ROW(CheckList!$C$3),0,1)),--(Table42[Part]=B68)))</f>
        <v>0</v>
      </c>
      <c r="J68" s="20">
        <f ca="1">IF(AND(Table21[[#This Row],[Type]]="Section",SUMPRODUCT(SUBTOTAL(103,OFFSET(Table42[Part],ROW(Table42[Part])-ROW(CheckList!$C$3),0,1)),--(Table42[Part]=B68))=0),"",SUMPRODUCT(SUBTOTAL(103,OFFSET(Table42[Part],ROW(Table42[Part])-ROW(CheckList!$C$3),0,1)),--(Table42[Column1]=D68)))</f>
        <v>0</v>
      </c>
      <c r="K68" s="29">
        <f ca="1">IF(AND(Table21[[#This Row],[Type]]="Section",SUMPRODUCT(SUBTOTAL(103,OFFSET(Table42[Part],ROW(Table42[Part])-ROW(CheckList!$C$3),0,1)),--(Table42[Part]=B68))=0),"",IF(I68=0,1,(J68/I68)))</f>
        <v>1</v>
      </c>
    </row>
    <row r="69" spans="2:11" s="7" customFormat="1" ht="14.25" customHeight="1" x14ac:dyDescent="0.25">
      <c r="B69" s="46" t="s">
        <v>173</v>
      </c>
      <c r="C69" s="16"/>
      <c r="D69" s="16" t="str">
        <f t="shared" ref="D69:D102" si="1">CONCATENATE(B69," Checked")</f>
        <v>Section 3 - 2.5 Authorization Checked</v>
      </c>
      <c r="E69" s="86"/>
      <c r="F69" s="86"/>
      <c r="G69" s="86" t="s">
        <v>122</v>
      </c>
      <c r="H69" s="86" t="s">
        <v>122</v>
      </c>
      <c r="I69" s="20">
        <f ca="1">IF(AND(Table21[[#This Row],[Type]]="Section",SUMPRODUCT(SUBTOTAL(103,OFFSET(Table42[Part],ROW(Table42[Part])-ROW(CheckList!$C$3),0,1)),--(Table42[Part]=B69))=0),"",SUMPRODUCT(SUBTOTAL(103,OFFSET(Table42[Part],ROW(Table42[Part])-ROW(CheckList!$C$3),0,1)),--(Table42[Part]=B69)))</f>
        <v>0</v>
      </c>
      <c r="J69" s="20">
        <f ca="1">IF(AND(Table21[[#This Row],[Type]]="Section",SUMPRODUCT(SUBTOTAL(103,OFFSET(Table42[Part],ROW(Table42[Part])-ROW(CheckList!$C$3),0,1)),--(Table42[Part]=B69))=0),"",SUMPRODUCT(SUBTOTAL(103,OFFSET(Table42[Part],ROW(Table42[Part])-ROW(CheckList!$C$3),0,1)),--(Table42[Column1]=D69)))</f>
        <v>0</v>
      </c>
      <c r="K69" s="29">
        <f ca="1">IF(AND(Table21[[#This Row],[Type]]="Section",SUMPRODUCT(SUBTOTAL(103,OFFSET(Table42[Part],ROW(Table42[Part])-ROW(CheckList!$C$3),0,1)),--(Table42[Part]=B69))=0),"",IF(I69=0,1,(J69/I69)))</f>
        <v>1</v>
      </c>
    </row>
    <row r="70" spans="2:11" s="7" customFormat="1" ht="14.25" customHeight="1" x14ac:dyDescent="0.25">
      <c r="B70" s="28" t="s">
        <v>174</v>
      </c>
      <c r="C70" s="16"/>
      <c r="D70" s="16" t="str">
        <f t="shared" si="1"/>
        <v>Section 3 - 3 Data privacy Checked</v>
      </c>
      <c r="E70" s="86"/>
      <c r="F70" s="86"/>
      <c r="G70" s="86" t="s">
        <v>122</v>
      </c>
      <c r="H70" s="86" t="s">
        <v>122</v>
      </c>
      <c r="I70" s="20">
        <f ca="1">IF(AND(Table21[[#This Row],[Type]]="Section",SUMPRODUCT(SUBTOTAL(103,OFFSET(Table42[Part],ROW(Table42[Part])-ROW(CheckList!$C$3),0,1)),--(Table42[Part]=B70))=0),"",SUMPRODUCT(SUBTOTAL(103,OFFSET(Table42[Part],ROW(Table42[Part])-ROW(CheckList!$C$3),0,1)),--(Table42[Part]=B70)))</f>
        <v>1</v>
      </c>
      <c r="J70" s="20">
        <f ca="1">IF(AND(Table21[[#This Row],[Type]]="Section",SUMPRODUCT(SUBTOTAL(103,OFFSET(Table42[Part],ROW(Table42[Part])-ROW(CheckList!$C$3),0,1)),--(Table42[Part]=B70))=0),"",SUMPRODUCT(SUBTOTAL(103,OFFSET(Table42[Part],ROW(Table42[Part])-ROW(CheckList!$C$3),0,1)),--(Table42[Column1]=D70)))</f>
        <v>0</v>
      </c>
      <c r="K70" s="29">
        <f ca="1">IF(AND(Table21[[#This Row],[Type]]="Section",SUMPRODUCT(SUBTOTAL(103,OFFSET(Table42[Part],ROW(Table42[Part])-ROW(CheckList!$C$3),0,1)),--(Table42[Part]=B70))=0),"",IF(I70=0,1,(J70/I70)))</f>
        <v>0</v>
      </c>
    </row>
    <row r="71" spans="2:11" s="7" customFormat="1" ht="14.25" customHeight="1" x14ac:dyDescent="0.25">
      <c r="B71" s="30" t="s">
        <v>191</v>
      </c>
      <c r="C71" s="12" t="s">
        <v>11</v>
      </c>
      <c r="D71" s="12" t="str">
        <f t="shared" si="1"/>
        <v>Section 4. Acceptance Test Protocols Checked</v>
      </c>
      <c r="E71" s="12"/>
      <c r="F71" s="12"/>
      <c r="G71" s="12" t="s">
        <v>122</v>
      </c>
      <c r="H71" s="12" t="s">
        <v>122</v>
      </c>
      <c r="I71" s="21"/>
      <c r="J71" s="22"/>
      <c r="K71" s="31"/>
    </row>
    <row r="72" spans="2:11" s="7" customFormat="1" ht="14.25" customHeight="1" x14ac:dyDescent="0.25">
      <c r="B72" s="28" t="s">
        <v>175</v>
      </c>
      <c r="C72" s="16"/>
      <c r="D72" s="16" t="str">
        <f t="shared" si="1"/>
        <v>Section 4 - 1 Functional Acceptance Test Checked</v>
      </c>
      <c r="E72" s="86"/>
      <c r="F72" s="86"/>
      <c r="G72" s="86" t="s">
        <v>122</v>
      </c>
      <c r="H72" s="86" t="s">
        <v>122</v>
      </c>
      <c r="I72" s="20">
        <f ca="1">IF(AND(Table21[[#This Row],[Type]]="Section",SUMPRODUCT(SUBTOTAL(103,OFFSET(Table42[Part],ROW(Table42[Part])-ROW(CheckList!$C$3),0,1)),--(Table42[Part]=B72))=0),"",SUMPRODUCT(SUBTOTAL(103,OFFSET(Table42[Part],ROW(Table42[Part])-ROW(CheckList!$C$3),0,1)),--(Table42[Part]=B72)))</f>
        <v>7</v>
      </c>
      <c r="J72" s="20">
        <f ca="1">IF(AND(Table21[[#This Row],[Type]]="Section",SUMPRODUCT(SUBTOTAL(103,OFFSET(Table42[Part],ROW(Table42[Part])-ROW(CheckList!$C$3),0,1)),--(Table42[Part]=B72))=0),"",SUMPRODUCT(SUBTOTAL(103,OFFSET(Table42[Part],ROW(Table42[Part])-ROW(CheckList!$C$3),0,1)),--(Table42[Column1]=D72)))</f>
        <v>0</v>
      </c>
      <c r="K72" s="29">
        <f ca="1">IF(AND(Table21[[#This Row],[Type]]="Section",SUMPRODUCT(SUBTOTAL(103,OFFSET(Table42[Part],ROW(Table42[Part])-ROW(CheckList!$C$3),0,1)),--(Table42[Part]=B72))=0),"",IF(I72=0,1,(J72/I72)))</f>
        <v>0</v>
      </c>
    </row>
    <row r="73" spans="2:11" s="7" customFormat="1" ht="14.25" customHeight="1" x14ac:dyDescent="0.25">
      <c r="B73" s="28" t="s">
        <v>176</v>
      </c>
      <c r="C73" s="16"/>
      <c r="D73" s="16" t="str">
        <f t="shared" si="1"/>
        <v>Section 4 - 2 Limit &amp; Negative Acceptance Tests Checked</v>
      </c>
      <c r="E73" s="86"/>
      <c r="F73" s="86"/>
      <c r="G73" s="86" t="s">
        <v>122</v>
      </c>
      <c r="H73" s="86" t="s">
        <v>122</v>
      </c>
      <c r="I73" s="20">
        <f ca="1">IF(AND(Table21[[#This Row],[Type]]="Section",SUMPRODUCT(SUBTOTAL(103,OFFSET(Table42[Part],ROW(Table42[Part])-ROW(CheckList!$C$3),0,1)),--(Table42[Part]=B73))=0),"",SUMPRODUCT(SUBTOTAL(103,OFFSET(Table42[Part],ROW(Table42[Part])-ROW(CheckList!$C$3),0,1)),--(Table42[Part]=B73)))</f>
        <v>2</v>
      </c>
      <c r="J73" s="20">
        <f ca="1">IF(AND(Table21[[#This Row],[Type]]="Section",SUMPRODUCT(SUBTOTAL(103,OFFSET(Table42[Part],ROW(Table42[Part])-ROW(CheckList!$C$3),0,1)),--(Table42[Part]=B73))=0),"",SUMPRODUCT(SUBTOTAL(103,OFFSET(Table42[Part],ROW(Table42[Part])-ROW(CheckList!$C$3),0,1)),--(Table42[Column1]=D73)))</f>
        <v>0</v>
      </c>
      <c r="K73" s="29">
        <f ca="1">IF(AND(Table21[[#This Row],[Type]]="Section",SUMPRODUCT(SUBTOTAL(103,OFFSET(Table42[Part],ROW(Table42[Part])-ROW(CheckList!$C$3),0,1)),--(Table42[Part]=B73))=0),"",IF(I73=0,1,(J73/I73)))</f>
        <v>0</v>
      </c>
    </row>
    <row r="74" spans="2:11" s="7" customFormat="1" ht="14.25" customHeight="1" x14ac:dyDescent="0.25">
      <c r="B74" s="28" t="s">
        <v>206</v>
      </c>
      <c r="C74" s="16"/>
      <c r="D74" s="16" t="str">
        <f t="shared" si="1"/>
        <v>Section 4 - 3 Performance/Capacity/Scalability Acceptance Tests Checked</v>
      </c>
      <c r="E74" s="86"/>
      <c r="F74" s="86"/>
      <c r="G74" s="86" t="s">
        <v>122</v>
      </c>
      <c r="H74" s="86" t="s">
        <v>122</v>
      </c>
      <c r="I74" s="20">
        <f ca="1">IF(AND(Table21[[#This Row],[Type]]="Section",SUMPRODUCT(SUBTOTAL(103,OFFSET(Table42[Part],ROW(Table42[Part])-ROW(CheckList!$C$3),0,1)),--(Table42[Part]=B74))=0),"",SUMPRODUCT(SUBTOTAL(103,OFFSET(Table42[Part],ROW(Table42[Part])-ROW(CheckList!$C$3),0,1)),--(Table42[Part]=B74)))</f>
        <v>1</v>
      </c>
      <c r="J74" s="20">
        <f ca="1">IF(AND(Table21[[#This Row],[Type]]="Section",SUMPRODUCT(SUBTOTAL(103,OFFSET(Table42[Part],ROW(Table42[Part])-ROW(CheckList!$C$3),0,1)),--(Table42[Part]=B74))=0),"",SUMPRODUCT(SUBTOTAL(103,OFFSET(Table42[Part],ROW(Table42[Part])-ROW(CheckList!$C$3),0,1)),--(Table42[Column1]=D74)))</f>
        <v>0</v>
      </c>
      <c r="K74" s="29">
        <f ca="1">IF(AND(Table21[[#This Row],[Type]]="Section",SUMPRODUCT(SUBTOTAL(103,OFFSET(Table42[Part],ROW(Table42[Part])-ROW(CheckList!$C$3),0,1)),--(Table42[Part]=B74))=0),"",IF(I74=0,1,(J74/I74)))</f>
        <v>0</v>
      </c>
    </row>
    <row r="75" spans="2:11" s="7" customFormat="1" ht="14.25" customHeight="1" x14ac:dyDescent="0.25">
      <c r="B75" s="28" t="s">
        <v>207</v>
      </c>
      <c r="C75" s="16"/>
      <c r="D75" s="16" t="str">
        <f t="shared" si="1"/>
        <v>Section 4 - 4 Page Objects usage in acceptance tests Checked</v>
      </c>
      <c r="E75" s="86"/>
      <c r="F75" s="86"/>
      <c r="G75" s="86" t="s">
        <v>122</v>
      </c>
      <c r="H75" s="86" t="s">
        <v>122</v>
      </c>
      <c r="I75" s="17">
        <f ca="1">SUMPRODUCT(SUBTOTAL(103,OFFSET(Table42[Part],ROW(Table42[Part])-ROW(CheckList!$C$3),0,1)),--(Table42[Part]=B75))</f>
        <v>1</v>
      </c>
      <c r="J75" s="17">
        <f ca="1">IF(AND(Table21[[#This Row],[Type]]="Section",SUMPRODUCT(SUBTOTAL(103,OFFSET(Table42[Part],ROW(Table42[Part])-ROW(CheckList!$C$3),0,1)),--(Table42[Part]=B75))=0),"",SUMPRODUCT(SUBTOTAL(103,OFFSET(Table42[Part],ROW(Table42[Part])-ROW(CheckList!$C$3),0,1)),--(Table42[Column1]=D75)))</f>
        <v>0</v>
      </c>
      <c r="K75" s="32">
        <f ca="1">IF(AND(Table21[[#This Row],[Type]]="Section",SUMPRODUCT(SUBTOTAL(103,OFFSET(Table42[Part],ROW(Table42[Part])-ROW(CheckList!$C$3),0,1)),--(Table42[Part]=B75))=0),"",IF(I75=0,1,(J75/I75)))</f>
        <v>0</v>
      </c>
    </row>
    <row r="76" spans="2:11" s="7" customFormat="1" ht="14.25" hidden="1" customHeight="1" x14ac:dyDescent="0.25">
      <c r="B76" s="30" t="s">
        <v>60</v>
      </c>
      <c r="C76" s="12" t="s">
        <v>11</v>
      </c>
      <c r="D76" s="12" t="str">
        <f t="shared" si="1"/>
        <v>4. Acceptance Tests Protocols Checked</v>
      </c>
      <c r="E76" s="12" t="s">
        <v>122</v>
      </c>
      <c r="F76" s="12" t="s">
        <v>122</v>
      </c>
      <c r="G76" s="12"/>
      <c r="H76" s="12"/>
      <c r="I76" s="21" t="str">
        <f ca="1">IF(AND(Table21[[#This Row],[Type]]="Section",SUMPRODUCT(SUBTOTAL(103,OFFSET(Table42[Part],ROW(Table42[Part])-ROW(CheckList!$C$3),0,1)),--(Table42[Part]=B76))=0),"",SUMPRODUCT(SUBTOTAL(103,OFFSET(Table42[Part],ROW(Table42[Part])-ROW(CheckList!$C$3),0,1)),--(Table42[Part]=B76)))</f>
        <v/>
      </c>
      <c r="J76" s="22" t="str">
        <f ca="1">IF(AND(Table21[[#This Row],[Type]]="Section",SUMPRODUCT(SUBTOTAL(103,OFFSET(Table42[Part],ROW(Table42[Part])-ROW(CheckList!$C$3),0,1)),--(Table42[Part]=B76))=0),"",SUMPRODUCT(SUBTOTAL(103,OFFSET(Table42[Part],ROW(Table42[Part])-ROW(CheckList!$C$3),0,1)),--(Table42[Column1]=D76)))</f>
        <v/>
      </c>
      <c r="K76" s="31" t="str">
        <f ca="1">IF(AND(Table21[[#This Row],[Type]]="Section",SUMPRODUCT(SUBTOTAL(103,OFFSET(Table42[Part],ROW(Table42[Part])-ROW(CheckList!$C$3),0,1)),--(Table42[Part]=B76))=0),"",IF(I76=0,1,(J76/I76)))</f>
        <v/>
      </c>
    </row>
    <row r="77" spans="2:11" s="7" customFormat="1" ht="14.25" hidden="1" customHeight="1" x14ac:dyDescent="0.25">
      <c r="B77" s="28" t="s">
        <v>80</v>
      </c>
      <c r="C77" s="16"/>
      <c r="D77" s="16" t="str">
        <f t="shared" si="1"/>
        <v>4.1 Acceptance Test Checked</v>
      </c>
      <c r="E77" s="86" t="s">
        <v>122</v>
      </c>
      <c r="F77" s="86" t="s">
        <v>122</v>
      </c>
      <c r="G77" s="86"/>
      <c r="H77" s="86"/>
      <c r="I77" s="17">
        <f ca="1">IF(AND(Table21[[#This Row],[Type]]="Section",SUMPRODUCT(SUBTOTAL(103,OFFSET(Table42[Part],ROW(Table42[Part])-ROW(CheckList!$C$3),0,1)),--(Table42[Part]=B77))=0),"",SUMPRODUCT(SUBTOTAL(103,OFFSET(Table42[Part],ROW(Table42[Part])-ROW(CheckList!$C$3),0,1)),--(Table42[Part]=B77)))</f>
        <v>0</v>
      </c>
      <c r="J77" s="17">
        <f ca="1">IF(AND(Table21[[#This Row],[Type]]="Section",SUMPRODUCT(SUBTOTAL(103,OFFSET(Table42[Part],ROW(Table42[Part])-ROW(CheckList!$C$3),0,1)),--(Table42[Part]=B77))=0),"",SUMPRODUCT(SUBTOTAL(103,OFFSET(Table42[Part],ROW(Table42[Part])-ROW(CheckList!$C$3),0,1)),--(Table42[Column1]=D77)))</f>
        <v>0</v>
      </c>
      <c r="K77" s="32">
        <f ca="1">IF(AND(Table21[[#This Row],[Type]]="Section",SUMPRODUCT(SUBTOTAL(103,OFFSET(Table42[Part],ROW(Table42[Part])-ROW(CheckList!$C$3),0,1)),--(Table42[Part]=B77))=0),"",IF(I77=0,1,(J77/I77)))</f>
        <v>1</v>
      </c>
    </row>
    <row r="78" spans="2:11" s="7" customFormat="1" ht="14.25" hidden="1" customHeight="1" x14ac:dyDescent="0.25">
      <c r="B78" s="28" t="s">
        <v>99</v>
      </c>
      <c r="C78" s="16"/>
      <c r="D78" s="16" t="str">
        <f t="shared" si="1"/>
        <v>4.1.1 What's being tested Checked</v>
      </c>
      <c r="E78" s="86" t="s">
        <v>122</v>
      </c>
      <c r="F78" s="86" t="s">
        <v>122</v>
      </c>
      <c r="G78" s="86"/>
      <c r="H78" s="86"/>
      <c r="I78" s="17">
        <f ca="1">IF(AND(Table21[[#This Row],[Type]]="Section",SUMPRODUCT(SUBTOTAL(103,OFFSET(Table42[Part],ROW(Table42[Part])-ROW(CheckList!$C$3),0,1)),--(Table42[Part]=B78))=0),"",SUMPRODUCT(SUBTOTAL(103,OFFSET(Table42[Part],ROW(Table42[Part])-ROW(CheckList!$C$3),0,1)),--(Table42[Part]=B78)))</f>
        <v>0</v>
      </c>
      <c r="J78" s="17">
        <f ca="1">IF(AND(Table21[[#This Row],[Type]]="Section",SUMPRODUCT(SUBTOTAL(103,OFFSET(Table42[Part],ROW(Table42[Part])-ROW(CheckList!$C$3),0,1)),--(Table42[Part]=B78))=0),"",SUMPRODUCT(SUBTOTAL(103,OFFSET(Table42[Part],ROW(Table42[Part])-ROW(CheckList!$C$3),0,1)),--(Table42[Column1]=D78)))</f>
        <v>0</v>
      </c>
      <c r="K78" s="32">
        <f ca="1">IF(AND(Table21[[#This Row],[Type]]="Section",SUMPRODUCT(SUBTOTAL(103,OFFSET(Table42[Part],ROW(Table42[Part])-ROW(CheckList!$C$3),0,1)),--(Table42[Part]=B78))=0),"",IF(I78=0,1,(J78/I78)))</f>
        <v>1</v>
      </c>
    </row>
    <row r="79" spans="2:11" s="7" customFormat="1" ht="14.25" hidden="1" customHeight="1" x14ac:dyDescent="0.25">
      <c r="B79" s="28" t="s">
        <v>100</v>
      </c>
      <c r="C79" s="16"/>
      <c r="D79" s="16" t="str">
        <f t="shared" si="1"/>
        <v>4.1.2 Test Data Checked</v>
      </c>
      <c r="E79" s="86" t="s">
        <v>122</v>
      </c>
      <c r="F79" s="86" t="s">
        <v>122</v>
      </c>
      <c r="G79" s="86"/>
      <c r="H79" s="86"/>
      <c r="I79" s="17">
        <f ca="1">IF(AND(Table21[[#This Row],[Type]]="Section",SUMPRODUCT(SUBTOTAL(103,OFFSET(Table42[Part],ROW(Table42[Part])-ROW(CheckList!$C$3),0,1)),--(Table42[Part]=B79))=0),"",SUMPRODUCT(SUBTOTAL(103,OFFSET(Table42[Part],ROW(Table42[Part])-ROW(CheckList!$C$3),0,1)),--(Table42[Part]=B79)))</f>
        <v>0</v>
      </c>
      <c r="J79" s="17">
        <f ca="1">IF(AND(Table21[[#This Row],[Type]]="Section",SUMPRODUCT(SUBTOTAL(103,OFFSET(Table42[Part],ROW(Table42[Part])-ROW(CheckList!$C$3),0,1)),--(Table42[Part]=B79))=0),"",SUMPRODUCT(SUBTOTAL(103,OFFSET(Table42[Part],ROW(Table42[Part])-ROW(CheckList!$C$3),0,1)),--(Table42[Column1]=D79)))</f>
        <v>0</v>
      </c>
      <c r="K79" s="32">
        <f ca="1">IF(AND(Table21[[#This Row],[Type]]="Section",SUMPRODUCT(SUBTOTAL(103,OFFSET(Table42[Part],ROW(Table42[Part])-ROW(CheckList!$C$3),0,1)),--(Table42[Part]=B79))=0),"",IF(I79=0,1,(J79/I79)))</f>
        <v>1</v>
      </c>
    </row>
    <row r="80" spans="2:11" s="7" customFormat="1" ht="14.25" hidden="1" customHeight="1" x14ac:dyDescent="0.25">
      <c r="B80" s="28" t="s">
        <v>101</v>
      </c>
      <c r="C80" s="16"/>
      <c r="D80" s="16" t="str">
        <f t="shared" si="1"/>
        <v>4.1.3 Test Protocol Checked</v>
      </c>
      <c r="E80" s="86" t="s">
        <v>122</v>
      </c>
      <c r="F80" s="86" t="s">
        <v>122</v>
      </c>
      <c r="G80" s="86"/>
      <c r="H80" s="86"/>
      <c r="I80" s="17">
        <f ca="1">IF(AND(Table21[[#This Row],[Type]]="Section",SUMPRODUCT(SUBTOTAL(103,OFFSET(Table42[Part],ROW(Table42[Part])-ROW(CheckList!$C$3),0,1)),--(Table42[Part]=B80))=0),"",SUMPRODUCT(SUBTOTAL(103,OFFSET(Table42[Part],ROW(Table42[Part])-ROW(CheckList!$C$3),0,1)),--(Table42[Part]=B80)))</f>
        <v>0</v>
      </c>
      <c r="J80" s="17">
        <f ca="1">IF(AND(Table21[[#This Row],[Type]]="Section",SUMPRODUCT(SUBTOTAL(103,OFFSET(Table42[Part],ROW(Table42[Part])-ROW(CheckList!$C$3),0,1)),--(Table42[Part]=B80))=0),"",SUMPRODUCT(SUBTOTAL(103,OFFSET(Table42[Part],ROW(Table42[Part])-ROW(CheckList!$C$3),0,1)),--(Table42[Column1]=D80)))</f>
        <v>0</v>
      </c>
      <c r="K80" s="32">
        <f ca="1">IF(AND(Table21[[#This Row],[Type]]="Section",SUMPRODUCT(SUBTOTAL(103,OFFSET(Table42[Part],ROW(Table42[Part])-ROW(CheckList!$C$3),0,1)),--(Table42[Part]=B80))=0),"",IF(I80=0,1,(J80/I80)))</f>
        <v>1</v>
      </c>
    </row>
    <row r="81" spans="2:11" s="7" customFormat="1" ht="14.25" hidden="1" customHeight="1" x14ac:dyDescent="0.25">
      <c r="B81" s="28" t="s">
        <v>102</v>
      </c>
      <c r="C81" s="16"/>
      <c r="D81" s="16" t="str">
        <f t="shared" si="1"/>
        <v>4.1.4 Related Automatic Tests Checked</v>
      </c>
      <c r="E81" s="86" t="s">
        <v>122</v>
      </c>
      <c r="F81" s="86" t="s">
        <v>122</v>
      </c>
      <c r="G81" s="86"/>
      <c r="H81" s="86"/>
      <c r="I81" s="17">
        <f ca="1">IF(AND(Table21[[#This Row],[Type]]="Section",SUMPRODUCT(SUBTOTAL(103,OFFSET(Table42[Part],ROW(Table42[Part])-ROW(CheckList!$C$3),0,1)),--(Table42[Part]=B81))=0),"",SUMPRODUCT(SUBTOTAL(103,OFFSET(Table42[Part],ROW(Table42[Part])-ROW(CheckList!$C$3),0,1)),--(Table42[Part]=B81)))</f>
        <v>0</v>
      </c>
      <c r="J81" s="17">
        <f ca="1">IF(AND(Table21[[#This Row],[Type]]="Section",SUMPRODUCT(SUBTOTAL(103,OFFSET(Table42[Part],ROW(Table42[Part])-ROW(CheckList!$C$3),0,1)),--(Table42[Part]=B81))=0),"",SUMPRODUCT(SUBTOTAL(103,OFFSET(Table42[Part],ROW(Table42[Part])-ROW(CheckList!$C$3),0,1)),--(Table42[Column1]=D81)))</f>
        <v>0</v>
      </c>
      <c r="K81" s="32">
        <f ca="1">IF(AND(Table21[[#This Row],[Type]]="Section",SUMPRODUCT(SUBTOTAL(103,OFFSET(Table42[Part],ROW(Table42[Part])-ROW(CheckList!$C$3),0,1)),--(Table42[Part]=B81))=0),"",IF(I81=0,1,(J81/I81)))</f>
        <v>1</v>
      </c>
    </row>
    <row r="82" spans="2:11" s="7" customFormat="1" ht="14.25" hidden="1" customHeight="1" x14ac:dyDescent="0.25">
      <c r="B82" s="28" t="s">
        <v>103</v>
      </c>
      <c r="C82" s="16"/>
      <c r="D82" s="16" t="str">
        <f t="shared" si="1"/>
        <v>4.1.5 Test Verification Checked</v>
      </c>
      <c r="E82" s="86" t="s">
        <v>122</v>
      </c>
      <c r="F82" s="86" t="s">
        <v>122</v>
      </c>
      <c r="G82" s="86"/>
      <c r="H82" s="86"/>
      <c r="I82" s="17">
        <f ca="1">IF(AND(Table21[[#This Row],[Type]]="Section",SUMPRODUCT(SUBTOTAL(103,OFFSET(Table42[Part],ROW(Table42[Part])-ROW(CheckList!$C$3),0,1)),--(Table42[Part]=B82))=0),"",SUMPRODUCT(SUBTOTAL(103,OFFSET(Table42[Part],ROW(Table42[Part])-ROW(CheckList!$C$3),0,1)),--(Table42[Part]=B82)))</f>
        <v>0</v>
      </c>
      <c r="J82" s="17">
        <f ca="1">IF(AND(Table21[[#This Row],[Type]]="Section",SUMPRODUCT(SUBTOTAL(103,OFFSET(Table42[Part],ROW(Table42[Part])-ROW(CheckList!$C$3),0,1)),--(Table42[Part]=B82))=0),"",SUMPRODUCT(SUBTOTAL(103,OFFSET(Table42[Part],ROW(Table42[Part])-ROW(CheckList!$C$3),0,1)),--(Table42[Column1]=D82)))</f>
        <v>0</v>
      </c>
      <c r="K82" s="32">
        <f ca="1">IF(AND(Table21[[#This Row],[Type]]="Section",SUMPRODUCT(SUBTOTAL(103,OFFSET(Table42[Part],ROW(Table42[Part])-ROW(CheckList!$C$3),0,1)),--(Table42[Part]=B82))=0),"",IF(I82=0,1,(J82/I82)))</f>
        <v>1</v>
      </c>
    </row>
    <row r="83" spans="2:11" s="7" customFormat="1" ht="14.25" hidden="1" customHeight="1" x14ac:dyDescent="0.25">
      <c r="B83" s="28" t="s">
        <v>104</v>
      </c>
      <c r="C83" s="16"/>
      <c r="D83" s="16" t="str">
        <f t="shared" si="1"/>
        <v>4.1.6 Test Responsability Checked</v>
      </c>
      <c r="E83" s="86" t="s">
        <v>122</v>
      </c>
      <c r="F83" s="86" t="s">
        <v>122</v>
      </c>
      <c r="G83" s="86"/>
      <c r="H83" s="86"/>
      <c r="I83" s="17">
        <f ca="1">IF(AND(Table21[[#This Row],[Type]]="Section",SUMPRODUCT(SUBTOTAL(103,OFFSET(Table42[Part],ROW(Table42[Part])-ROW(CheckList!$C$3),0,1)),--(Table42[Part]=B83))=0),"",SUMPRODUCT(SUBTOTAL(103,OFFSET(Table42[Part],ROW(Table42[Part])-ROW(CheckList!$C$3),0,1)),--(Table42[Part]=B83)))</f>
        <v>0</v>
      </c>
      <c r="J83" s="17">
        <f ca="1">IF(AND(Table21[[#This Row],[Type]]="Section",SUMPRODUCT(SUBTOTAL(103,OFFSET(Table42[Part],ROW(Table42[Part])-ROW(CheckList!$C$3),0,1)),--(Table42[Part]=B83))=0),"",SUMPRODUCT(SUBTOTAL(103,OFFSET(Table42[Part],ROW(Table42[Part])-ROW(CheckList!$C$3),0,1)),--(Table42[Column1]=D83)))</f>
        <v>0</v>
      </c>
      <c r="K83" s="32">
        <f ca="1">IF(AND(Table21[[#This Row],[Type]]="Section",SUMPRODUCT(SUBTOTAL(103,OFFSET(Table42[Part],ROW(Table42[Part])-ROW(CheckList!$C$3),0,1)),--(Table42[Part]=B83))=0),"",IF(I83=0,1,(J83/I83)))</f>
        <v>1</v>
      </c>
    </row>
    <row r="84" spans="2:11" s="7" customFormat="1" ht="14.25" hidden="1" customHeight="1" x14ac:dyDescent="0.25">
      <c r="B84" s="28" t="s">
        <v>254</v>
      </c>
      <c r="C84" s="16"/>
      <c r="D84" s="16" t="str">
        <f t="shared" si="1"/>
        <v>4.3 Performance–Capacity–Scalability Acceptance Test Checked</v>
      </c>
      <c r="E84" s="86" t="s">
        <v>122</v>
      </c>
      <c r="F84" s="86" t="s">
        <v>122</v>
      </c>
      <c r="G84" s="86"/>
      <c r="H84" s="86"/>
      <c r="I84" s="17">
        <f ca="1">IF(AND(Table21[[#This Row],[Type]]="Section",SUMPRODUCT(SUBTOTAL(103,OFFSET(Table42[Part],ROW(Table42[Part])-ROW(CheckList!$C$3),0,1)),--(Table42[Part]=B84))=0),"",SUMPRODUCT(SUBTOTAL(103,OFFSET(Table42[Part],ROW(Table42[Part])-ROW(CheckList!$C$3),0,1)),--(Table42[Part]=B84)))</f>
        <v>0</v>
      </c>
      <c r="J84" s="17">
        <f ca="1">IF(AND(Table21[[#This Row],[Type]]="Section",SUMPRODUCT(SUBTOTAL(103,OFFSET(Table42[Part],ROW(Table42[Part])-ROW(CheckList!$C$3),0,1)),--(Table42[Part]=B84))=0),"",SUMPRODUCT(SUBTOTAL(103,OFFSET(Table42[Part],ROW(Table42[Part])-ROW(CheckList!$C$3),0,1)),--(Table42[Column1]=D84)))</f>
        <v>0</v>
      </c>
      <c r="K84" s="32">
        <f ca="1">IF(AND(Table21[[#This Row],[Type]]="Section",SUMPRODUCT(SUBTOTAL(103,OFFSET(Table42[Part],ROW(Table42[Part])-ROW(CheckList!$C$3),0,1)),--(Table42[Part]=B84))=0),"",IF(I84=0,1,(J84/I84)))</f>
        <v>1</v>
      </c>
    </row>
    <row r="85" spans="2:11" s="7" customFormat="1" ht="14.25" hidden="1" customHeight="1" x14ac:dyDescent="0.25">
      <c r="B85" s="28" t="s">
        <v>105</v>
      </c>
      <c r="C85" s="16"/>
      <c r="D85" s="16" t="str">
        <f t="shared" si="1"/>
        <v>4.3.1 What's being tested Checked</v>
      </c>
      <c r="E85" s="86" t="s">
        <v>122</v>
      </c>
      <c r="F85" s="86" t="s">
        <v>122</v>
      </c>
      <c r="G85" s="86"/>
      <c r="H85" s="86"/>
      <c r="I85" s="17">
        <f ca="1">IF(AND(Table21[[#This Row],[Type]]="Section",SUMPRODUCT(SUBTOTAL(103,OFFSET(Table42[Part],ROW(Table42[Part])-ROW(CheckList!$C$3),0,1)),--(Table42[Part]=B85))=0),"",SUMPRODUCT(SUBTOTAL(103,OFFSET(Table42[Part],ROW(Table42[Part])-ROW(CheckList!$C$3),0,1)),--(Table42[Part]=B85)))</f>
        <v>0</v>
      </c>
      <c r="J85" s="17">
        <f ca="1">IF(AND(Table21[[#This Row],[Type]]="Section",SUMPRODUCT(SUBTOTAL(103,OFFSET(Table42[Part],ROW(Table42[Part])-ROW(CheckList!$C$3),0,1)),--(Table42[Part]=B85))=0),"",SUMPRODUCT(SUBTOTAL(103,OFFSET(Table42[Part],ROW(Table42[Part])-ROW(CheckList!$C$3),0,1)),--(Table42[Column1]=D85)))</f>
        <v>0</v>
      </c>
      <c r="K85" s="32">
        <f ca="1">IF(AND(Table21[[#This Row],[Type]]="Section",SUMPRODUCT(SUBTOTAL(103,OFFSET(Table42[Part],ROW(Table42[Part])-ROW(CheckList!$C$3),0,1)),--(Table42[Part]=B85))=0),"",IF(I85=0,1,(J85/I85)))</f>
        <v>1</v>
      </c>
    </row>
    <row r="86" spans="2:11" s="7" customFormat="1" ht="14.25" hidden="1" customHeight="1" x14ac:dyDescent="0.25">
      <c r="B86" s="28" t="s">
        <v>106</v>
      </c>
      <c r="C86" s="16"/>
      <c r="D86" s="16" t="str">
        <f t="shared" si="1"/>
        <v>4.3.2 Scenario Checked</v>
      </c>
      <c r="E86" s="86" t="s">
        <v>122</v>
      </c>
      <c r="F86" s="86" t="s">
        <v>122</v>
      </c>
      <c r="G86" s="86"/>
      <c r="H86" s="86"/>
      <c r="I86" s="17">
        <f ca="1">IF(AND(Table21[[#This Row],[Type]]="Section",SUMPRODUCT(SUBTOTAL(103,OFFSET(Table42[Part],ROW(Table42[Part])-ROW(CheckList!$C$3),0,1)),--(Table42[Part]=B86))=0),"",SUMPRODUCT(SUBTOTAL(103,OFFSET(Table42[Part],ROW(Table42[Part])-ROW(CheckList!$C$3),0,1)),--(Table42[Part]=B86)))</f>
        <v>0</v>
      </c>
      <c r="J86" s="17">
        <f ca="1">IF(AND(Table21[[#This Row],[Type]]="Section",SUMPRODUCT(SUBTOTAL(103,OFFSET(Table42[Part],ROW(Table42[Part])-ROW(CheckList!$C$3),0,1)),--(Table42[Part]=B86))=0),"",SUMPRODUCT(SUBTOTAL(103,OFFSET(Table42[Part],ROW(Table42[Part])-ROW(CheckList!$C$3),0,1)),--(Table42[Column1]=D86)))</f>
        <v>0</v>
      </c>
      <c r="K86" s="32">
        <f ca="1">IF(AND(Table21[[#This Row],[Type]]="Section",SUMPRODUCT(SUBTOTAL(103,OFFSET(Table42[Part],ROW(Table42[Part])-ROW(CheckList!$C$3),0,1)),--(Table42[Part]=B86))=0),"",IF(I86=0,1,(J86/I86)))</f>
        <v>1</v>
      </c>
    </row>
    <row r="87" spans="2:11" s="7" customFormat="1" ht="14.25" hidden="1" customHeight="1" x14ac:dyDescent="0.25">
      <c r="B87" s="28" t="s">
        <v>107</v>
      </c>
      <c r="C87" s="16"/>
      <c r="D87" s="16" t="str">
        <f t="shared" si="1"/>
        <v>4.3.3 Data Checked</v>
      </c>
      <c r="E87" s="86" t="s">
        <v>122</v>
      </c>
      <c r="F87" s="86" t="s">
        <v>122</v>
      </c>
      <c r="G87" s="86"/>
      <c r="H87" s="86"/>
      <c r="I87" s="17">
        <f ca="1">IF(AND(Table21[[#This Row],[Type]]="Section",SUMPRODUCT(SUBTOTAL(103,OFFSET(Table42[Part],ROW(Table42[Part])-ROW(CheckList!$C$3),0,1)),--(Table42[Part]=B87))=0),"",SUMPRODUCT(SUBTOTAL(103,OFFSET(Table42[Part],ROW(Table42[Part])-ROW(CheckList!$C$3),0,1)),--(Table42[Part]=B87)))</f>
        <v>0</v>
      </c>
      <c r="J87" s="17">
        <f ca="1">IF(AND(Table21[[#This Row],[Type]]="Section",SUMPRODUCT(SUBTOTAL(103,OFFSET(Table42[Part],ROW(Table42[Part])-ROW(CheckList!$C$3),0,1)),--(Table42[Part]=B87))=0),"",SUMPRODUCT(SUBTOTAL(103,OFFSET(Table42[Part],ROW(Table42[Part])-ROW(CheckList!$C$3),0,1)),--(Table42[Column1]=D87)))</f>
        <v>0</v>
      </c>
      <c r="K87" s="32">
        <f ca="1">IF(AND(Table21[[#This Row],[Type]]="Section",SUMPRODUCT(SUBTOTAL(103,OFFSET(Table42[Part],ROW(Table42[Part])-ROW(CheckList!$C$3),0,1)),--(Table42[Part]=B87))=0),"",IF(I87=0,1,(J87/I87)))</f>
        <v>1</v>
      </c>
    </row>
    <row r="88" spans="2:11" s="7" customFormat="1" ht="14.25" hidden="1" customHeight="1" x14ac:dyDescent="0.25">
      <c r="B88" s="28" t="s">
        <v>108</v>
      </c>
      <c r="C88" s="16"/>
      <c r="D88" s="16" t="str">
        <f t="shared" si="1"/>
        <v>4.3.4 Environment Checked</v>
      </c>
      <c r="E88" s="86" t="s">
        <v>122</v>
      </c>
      <c r="F88" s="86" t="s">
        <v>122</v>
      </c>
      <c r="G88" s="86"/>
      <c r="H88" s="86"/>
      <c r="I88" s="17">
        <f ca="1">IF(AND(Table21[[#This Row],[Type]]="Section",SUMPRODUCT(SUBTOTAL(103,OFFSET(Table42[Part],ROW(Table42[Part])-ROW(CheckList!$C$3),0,1)),--(Table42[Part]=B88))=0),"",SUMPRODUCT(SUBTOTAL(103,OFFSET(Table42[Part],ROW(Table42[Part])-ROW(CheckList!$C$3),0,1)),--(Table42[Part]=B88)))</f>
        <v>0</v>
      </c>
      <c r="J88" s="17">
        <f ca="1">IF(AND(Table21[[#This Row],[Type]]="Section",SUMPRODUCT(SUBTOTAL(103,OFFSET(Table42[Part],ROW(Table42[Part])-ROW(CheckList!$C$3),0,1)),--(Table42[Part]=B88))=0),"",SUMPRODUCT(SUBTOTAL(103,OFFSET(Table42[Part],ROW(Table42[Part])-ROW(CheckList!$C$3),0,1)),--(Table42[Column1]=D88)))</f>
        <v>0</v>
      </c>
      <c r="K88" s="32">
        <f ca="1">IF(AND(Table21[[#This Row],[Type]]="Section",SUMPRODUCT(SUBTOTAL(103,OFFSET(Table42[Part],ROW(Table42[Part])-ROW(CheckList!$C$3),0,1)),--(Table42[Part]=B88))=0),"",IF(I88=0,1,(J88/I88)))</f>
        <v>1</v>
      </c>
    </row>
    <row r="89" spans="2:11" s="7" customFormat="1" ht="14.25" hidden="1" customHeight="1" x14ac:dyDescent="0.25">
      <c r="B89" s="28" t="s">
        <v>109</v>
      </c>
      <c r="C89" s="16"/>
      <c r="D89" s="16" t="str">
        <f t="shared" si="1"/>
        <v>4.3.5 Related Automatic Tests Checked</v>
      </c>
      <c r="E89" s="86" t="s">
        <v>122</v>
      </c>
      <c r="F89" s="86" t="s">
        <v>122</v>
      </c>
      <c r="G89" s="86"/>
      <c r="H89" s="86"/>
      <c r="I89" s="17">
        <f ca="1">IF(AND(Table21[[#This Row],[Type]]="Section",SUMPRODUCT(SUBTOTAL(103,OFFSET(Table42[Part],ROW(Table42[Part])-ROW(CheckList!$C$3),0,1)),--(Table42[Part]=B89))=0),"",SUMPRODUCT(SUBTOTAL(103,OFFSET(Table42[Part],ROW(Table42[Part])-ROW(CheckList!$C$3),0,1)),--(Table42[Part]=B89)))</f>
        <v>0</v>
      </c>
      <c r="J89" s="17">
        <f ca="1">IF(AND(Table21[[#This Row],[Type]]="Section",SUMPRODUCT(SUBTOTAL(103,OFFSET(Table42[Part],ROW(Table42[Part])-ROW(CheckList!$C$3),0,1)),--(Table42[Part]=B89))=0),"",SUMPRODUCT(SUBTOTAL(103,OFFSET(Table42[Part],ROW(Table42[Part])-ROW(CheckList!$C$3),0,1)),--(Table42[Column1]=D89)))</f>
        <v>0</v>
      </c>
      <c r="K89" s="32">
        <f ca="1">IF(AND(Table21[[#This Row],[Type]]="Section",SUMPRODUCT(SUBTOTAL(103,OFFSET(Table42[Part],ROW(Table42[Part])-ROW(CheckList!$C$3),0,1)),--(Table42[Part]=B89))=0),"",IF(I89=0,1,(J89/I89)))</f>
        <v>1</v>
      </c>
    </row>
    <row r="90" spans="2:11" s="7" customFormat="1" ht="14.25" hidden="1" customHeight="1" x14ac:dyDescent="0.25">
      <c r="B90" s="28" t="s">
        <v>110</v>
      </c>
      <c r="C90" s="16"/>
      <c r="D90" s="16" t="str">
        <f t="shared" si="1"/>
        <v>4.3.7 When to be run and measurements taken ? Checked</v>
      </c>
      <c r="E90" s="86" t="s">
        <v>122</v>
      </c>
      <c r="F90" s="86" t="s">
        <v>122</v>
      </c>
      <c r="G90" s="86"/>
      <c r="H90" s="86"/>
      <c r="I90" s="17">
        <f ca="1">IF(AND(Table21[[#This Row],[Type]]="Section",SUMPRODUCT(SUBTOTAL(103,OFFSET(Table42[Part],ROW(Table42[Part])-ROW(CheckList!$C$3),0,1)),--(Table42[Part]=B90))=0),"",SUMPRODUCT(SUBTOTAL(103,OFFSET(Table42[Part],ROW(Table42[Part])-ROW(CheckList!$C$3),0,1)),--(Table42[Part]=B90)))</f>
        <v>0</v>
      </c>
      <c r="J90" s="17">
        <f ca="1">IF(AND(Table21[[#This Row],[Type]]="Section",SUMPRODUCT(SUBTOTAL(103,OFFSET(Table42[Part],ROW(Table42[Part])-ROW(CheckList!$C$3),0,1)),--(Table42[Part]=B90))=0),"",SUMPRODUCT(SUBTOTAL(103,OFFSET(Table42[Part],ROW(Table42[Part])-ROW(CheckList!$C$3),0,1)),--(Table42[Column1]=D90)))</f>
        <v>0</v>
      </c>
      <c r="K90" s="32">
        <f ca="1">IF(AND(Table21[[#This Row],[Type]]="Section",SUMPRODUCT(SUBTOTAL(103,OFFSET(Table42[Part],ROW(Table42[Part])-ROW(CheckList!$C$3),0,1)),--(Table42[Part]=B90))=0),"",IF(I90=0,1,(J90/I90)))</f>
        <v>1</v>
      </c>
    </row>
    <row r="91" spans="2:11" s="7" customFormat="1" ht="14.25" hidden="1" customHeight="1" x14ac:dyDescent="0.25">
      <c r="B91" s="28" t="s">
        <v>111</v>
      </c>
      <c r="C91" s="16"/>
      <c r="D91" s="16" t="str">
        <f t="shared" si="1"/>
        <v>4.3.8 Limitations Checked</v>
      </c>
      <c r="E91" s="86" t="s">
        <v>122</v>
      </c>
      <c r="F91" s="86" t="s">
        <v>122</v>
      </c>
      <c r="G91" s="86"/>
      <c r="H91" s="86"/>
      <c r="I91" s="17">
        <f ca="1">IF(AND(Table21[[#This Row],[Type]]="Section",SUMPRODUCT(SUBTOTAL(103,OFFSET(Table42[Part],ROW(Table42[Part])-ROW(CheckList!$C$3),0,1)),--(Table42[Part]=B91))=0),"",SUMPRODUCT(SUBTOTAL(103,OFFSET(Table42[Part],ROW(Table42[Part])-ROW(CheckList!$C$3),0,1)),--(Table42[Part]=B91)))</f>
        <v>0</v>
      </c>
      <c r="J91" s="17">
        <f ca="1">IF(AND(Table21[[#This Row],[Type]]="Section",SUMPRODUCT(SUBTOTAL(103,OFFSET(Table42[Part],ROW(Table42[Part])-ROW(CheckList!$C$3),0,1)),--(Table42[Part]=B91))=0),"",SUMPRODUCT(SUBTOTAL(103,OFFSET(Table42[Part],ROW(Table42[Part])-ROW(CheckList!$C$3),0,1)),--(Table42[Column1]=D91)))</f>
        <v>0</v>
      </c>
      <c r="K91" s="32">
        <f ca="1">IF(AND(Table21[[#This Row],[Type]]="Section",SUMPRODUCT(SUBTOTAL(103,OFFSET(Table42[Part],ROW(Table42[Part])-ROW(CheckList!$C$3),0,1)),--(Table42[Part]=B91))=0),"",IF(I91=0,1,(J91/I91)))</f>
        <v>1</v>
      </c>
    </row>
    <row r="92" spans="2:11" s="7" customFormat="1" ht="14.25" hidden="1" customHeight="1" x14ac:dyDescent="0.25">
      <c r="B92" s="30" t="s">
        <v>86</v>
      </c>
      <c r="C92" s="12" t="s">
        <v>11</v>
      </c>
      <c r="D92" s="12" t="str">
        <f t="shared" si="1"/>
        <v>5. User Assistance Checked</v>
      </c>
      <c r="E92" s="12" t="s">
        <v>122</v>
      </c>
      <c r="F92" s="12" t="s">
        <v>122</v>
      </c>
      <c r="G92" s="12"/>
      <c r="H92" s="12"/>
      <c r="I92" s="12" t="str">
        <f ca="1">IF(AND(Table21[[#This Row],[Type]]="Section",SUMPRODUCT(SUBTOTAL(103,OFFSET(Table42[Part],ROW(Table42[Part])-ROW(CheckList!$C$3),0,1)),--(Table42[Part]=B92))=0),"",SUMPRODUCT(SUBTOTAL(103,OFFSET(Table42[Part],ROW(Table42[Part])-ROW(CheckList!$C$3),0,1)),--(Table42[Part]=B92)))</f>
        <v/>
      </c>
      <c r="J92" s="13" t="str">
        <f ca="1">IF(AND(Table21[[#This Row],[Type]]="Section",SUMPRODUCT(SUBTOTAL(103,OFFSET(Table42[Part],ROW(Table42[Part])-ROW(CheckList!$C$3),0,1)),--(Table42[Part]=B92))=0),"",SUMPRODUCT(SUBTOTAL(103,OFFSET(Table42[Part],ROW(Table42[Part])-ROW(CheckList!$C$3),0,1)),--(Table42[Column1]=D92)))</f>
        <v/>
      </c>
      <c r="K92" s="33" t="str">
        <f ca="1">IF(AND(Table21[[#This Row],[Type]]="Section",SUMPRODUCT(SUBTOTAL(103,OFFSET(Table42[Part],ROW(Table42[Part])-ROW(CheckList!$C$3),0,1)),--(Table42[Part]=B92))=0),"",IF(I92=0,1,(J92/I92)))</f>
        <v/>
      </c>
    </row>
    <row r="93" spans="2:11" s="7" customFormat="1" ht="14.25" hidden="1" customHeight="1" x14ac:dyDescent="0.25">
      <c r="B93" s="28" t="s">
        <v>88</v>
      </c>
      <c r="C93" s="16"/>
      <c r="D93" s="16" t="str">
        <f t="shared" si="1"/>
        <v>5.1 User Documentation Checked</v>
      </c>
      <c r="E93" s="86" t="s">
        <v>122</v>
      </c>
      <c r="F93" s="86" t="s">
        <v>122</v>
      </c>
      <c r="G93" s="86"/>
      <c r="H93" s="86"/>
      <c r="I93" s="17">
        <f ca="1">IF(AND(Table21[[#This Row],[Type]]="Section",SUMPRODUCT(SUBTOTAL(103,OFFSET(Table42[Part],ROW(Table42[Part])-ROW(CheckList!$C$3),0,1)),--(Table42[Part]=B93))=0),"",SUMPRODUCT(SUBTOTAL(103,OFFSET(Table42[Part],ROW(Table42[Part])-ROW(CheckList!$C$3),0,1)),--(Table42[Part]=B93)))</f>
        <v>0</v>
      </c>
      <c r="J93" s="17">
        <f ca="1">IF(AND(Table21[[#This Row],[Type]]="Section",SUMPRODUCT(SUBTOTAL(103,OFFSET(Table42[Part],ROW(Table42[Part])-ROW(CheckList!$C$3),0,1)),--(Table42[Part]=B93))=0),"",SUMPRODUCT(SUBTOTAL(103,OFFSET(Table42[Part],ROW(Table42[Part])-ROW(CheckList!$C$3),0,1)),--(Table42[Column1]=D93)))</f>
        <v>0</v>
      </c>
      <c r="K93" s="32">
        <f ca="1">IF(AND(Table21[[#This Row],[Type]]="Section",SUMPRODUCT(SUBTOTAL(103,OFFSET(Table42[Part],ROW(Table42[Part])-ROW(CheckList!$C$3),0,1)),--(Table42[Part]=B93))=0),"",IF(I93=0,1,(J93/I93)))</f>
        <v>1</v>
      </c>
    </row>
    <row r="94" spans="2:11" s="7" customFormat="1" ht="14.25" hidden="1" customHeight="1" x14ac:dyDescent="0.25">
      <c r="B94" s="28" t="s">
        <v>89</v>
      </c>
      <c r="C94" s="16"/>
      <c r="D94" s="16" t="str">
        <f t="shared" si="1"/>
        <v>5.2 Embedded User Assistance (Tooltips, UA Panel, Etc.) Checked</v>
      </c>
      <c r="E94" s="86" t="s">
        <v>122</v>
      </c>
      <c r="F94" s="86" t="s">
        <v>122</v>
      </c>
      <c r="G94" s="86"/>
      <c r="H94" s="86"/>
      <c r="I94" s="17">
        <f ca="1">IF(AND(Table21[[#This Row],[Type]]="Section",SUMPRODUCT(SUBTOTAL(103,OFFSET(Table42[Part],ROW(Table42[Part])-ROW(CheckList!$C$3),0,1)),--(Table42[Part]=B94))=0),"",SUMPRODUCT(SUBTOTAL(103,OFFSET(Table42[Part],ROW(Table42[Part])-ROW(CheckList!$C$3),0,1)),--(Table42[Part]=B94)))</f>
        <v>0</v>
      </c>
      <c r="J94" s="17">
        <f ca="1">IF(AND(Table21[[#This Row],[Type]]="Section",SUMPRODUCT(SUBTOTAL(103,OFFSET(Table42[Part],ROW(Table42[Part])-ROW(CheckList!$C$3),0,1)),--(Table42[Part]=B94))=0),"",SUMPRODUCT(SUBTOTAL(103,OFFSET(Table42[Part],ROW(Table42[Part])-ROW(CheckList!$C$3),0,1)),--(Table42[Column1]=D94)))</f>
        <v>0</v>
      </c>
      <c r="K94" s="32">
        <f ca="1">IF(AND(Table21[[#This Row],[Type]]="Section",SUMPRODUCT(SUBTOTAL(103,OFFSET(Table42[Part],ROW(Table42[Part])-ROW(CheckList!$C$3),0,1)),--(Table42[Part]=B94))=0),"",IF(I94=0,1,(J94/I94)))</f>
        <v>1</v>
      </c>
    </row>
    <row r="95" spans="2:11" s="7" customFormat="1" ht="14.25" hidden="1" customHeight="1" x14ac:dyDescent="0.25">
      <c r="B95" s="28" t="s">
        <v>90</v>
      </c>
      <c r="C95" s="16"/>
      <c r="D95" s="16" t="str">
        <f t="shared" si="1"/>
        <v>5.3 3DSpace Baseline Behavior Support Checked</v>
      </c>
      <c r="E95" s="86" t="s">
        <v>122</v>
      </c>
      <c r="F95" s="86" t="s">
        <v>122</v>
      </c>
      <c r="G95" s="86"/>
      <c r="H95" s="86"/>
      <c r="I95" s="17">
        <f ca="1">IF(AND(Table21[[#This Row],[Type]]="Section",SUMPRODUCT(SUBTOTAL(103,OFFSET(Table42[Part],ROW(Table42[Part])-ROW(CheckList!$C$3),0,1)),--(Table42[Part]=B95))=0),"",SUMPRODUCT(SUBTOTAL(103,OFFSET(Table42[Part],ROW(Table42[Part])-ROW(CheckList!$C$3),0,1)),--(Table42[Part]=B95)))</f>
        <v>0</v>
      </c>
      <c r="J95" s="17">
        <f ca="1">IF(AND(Table21[[#This Row],[Type]]="Section",SUMPRODUCT(SUBTOTAL(103,OFFSET(Table42[Part],ROW(Table42[Part])-ROW(CheckList!$C$3),0,1)),--(Table42[Part]=B95))=0),"",SUMPRODUCT(SUBTOTAL(103,OFFSET(Table42[Part],ROW(Table42[Part])-ROW(CheckList!$C$3),0,1)),--(Table42[Column1]=D95)))</f>
        <v>0</v>
      </c>
      <c r="K95" s="32">
        <f ca="1">IF(AND(Table21[[#This Row],[Type]]="Section",SUMPRODUCT(SUBTOTAL(103,OFFSET(Table42[Part],ROW(Table42[Part])-ROW(CheckList!$C$3),0,1)),--(Table42[Part]=B95))=0),"",IF(I95=0,1,(J95/I95)))</f>
        <v>1</v>
      </c>
    </row>
    <row r="96" spans="2:11" s="7" customFormat="1" ht="14.25" customHeight="1" x14ac:dyDescent="0.25">
      <c r="B96" s="30" t="s">
        <v>192</v>
      </c>
      <c r="C96" s="12" t="s">
        <v>11</v>
      </c>
      <c r="D96" s="12" t="str">
        <f t="shared" si="1"/>
        <v>Section 5. 3DSpace Baseline Behavior Support Checked</v>
      </c>
      <c r="E96" s="12"/>
      <c r="F96" s="12"/>
      <c r="G96" s="12" t="s">
        <v>122</v>
      </c>
      <c r="H96" s="12" t="s">
        <v>122</v>
      </c>
      <c r="I96" s="21">
        <f ca="1">IF(AND(Table21[[#This Row],[Type]]="Section",SUMPRODUCT(SUBTOTAL(103,OFFSET(Table42[Part],ROW(Table42[Part])-ROW(CheckList!$C$3),0,1)),--(Table42[Part]=B96))=0),"",SUMPRODUCT(SUBTOTAL(103,OFFSET(Table42[Part],ROW(Table42[Part])-ROW(CheckList!$C$3),0,1)),--(Table42[Part]=B96)))</f>
        <v>2</v>
      </c>
      <c r="J96" s="22">
        <f ca="1">IF(AND(Table21[[#This Row],[Type]]="Section",SUMPRODUCT(SUBTOTAL(103,OFFSET(Table42[Part],ROW(Table42[Part])-ROW(CheckList!$C$3),0,1)),--(Table42[Part]=B96))=0),"",SUMPRODUCT(SUBTOTAL(103,OFFSET(Table42[Part],ROW(Table42[Part])-ROW(CheckList!$C$3),0,1)),--(Table42[Column1]=D96)))</f>
        <v>0</v>
      </c>
      <c r="K96" s="31">
        <f ca="1">IF(AND(Table21[[#This Row],[Type]]="Section",SUMPRODUCT(SUBTOTAL(103,OFFSET(Table42[Part],ROW(Table42[Part])-ROW(CheckList!$C$3),0,1)),--(Table42[Part]=B96))=0),"",IF(I96=0,1,(J96/I96)))</f>
        <v>0</v>
      </c>
    </row>
    <row r="97" spans="2:11" s="7" customFormat="1" ht="13.5" customHeight="1" x14ac:dyDescent="0.25">
      <c r="B97" s="30" t="s">
        <v>179</v>
      </c>
      <c r="C97" s="12" t="s">
        <v>11</v>
      </c>
      <c r="D97" s="12" t="str">
        <f t="shared" si="1"/>
        <v>Section 6. PES related material Checked</v>
      </c>
      <c r="E97" s="12"/>
      <c r="F97" s="12"/>
      <c r="G97" s="12" t="s">
        <v>122</v>
      </c>
      <c r="H97" s="12" t="s">
        <v>122</v>
      </c>
      <c r="I97" s="21" t="str">
        <f ca="1">IF(AND(Table21[[#This Row],[Type]]="Section",SUMPRODUCT(SUBTOTAL(103,OFFSET(Table42[Part],ROW(Table42[Part])-ROW(CheckList!$C$3),0,1)),--(Table42[Part]=B97))=0),"",SUMPRODUCT(SUBTOTAL(103,OFFSET(Table42[Part],ROW(Table42[Part])-ROW(CheckList!$C$3),0,1)),--(Table42[Part]=B97)))</f>
        <v/>
      </c>
      <c r="J97" s="22" t="str">
        <f ca="1">IF(AND(Table21[[#This Row],[Type]]="Section",SUMPRODUCT(SUBTOTAL(103,OFFSET(Table42[Part],ROW(Table42[Part])-ROW(CheckList!$C$3),0,1)),--(Table42[Part]=B97))=0),"",SUMPRODUCT(SUBTOTAL(103,OFFSET(Table42[Part],ROW(Table42[Part])-ROW(CheckList!$C$3),0,1)),--(Table42[Column1]=D97)))</f>
        <v/>
      </c>
      <c r="K97" s="31" t="str">
        <f ca="1">IF(AND(Table21[[#This Row],[Type]]="Section",SUMPRODUCT(SUBTOTAL(103,OFFSET(Table42[Part],ROW(Table42[Part])-ROW(CheckList!$C$3),0,1)),--(Table42[Part]=B97))=0),"",IF(I97=0,1,(J97/I97)))</f>
        <v/>
      </c>
    </row>
    <row r="98" spans="2:11" s="7" customFormat="1" ht="13.5" customHeight="1" x14ac:dyDescent="0.25">
      <c r="B98" s="28" t="s">
        <v>177</v>
      </c>
      <c r="C98" s="16"/>
      <c r="D98" s="16" t="str">
        <f t="shared" si="1"/>
        <v>Section 6 - 1 Reference Materials Checked</v>
      </c>
      <c r="E98" s="86"/>
      <c r="F98" s="86"/>
      <c r="G98" s="86" t="s">
        <v>122</v>
      </c>
      <c r="H98" s="86" t="s">
        <v>122</v>
      </c>
      <c r="I98" s="20">
        <f ca="1">IF(AND(Table21[[#This Row],[Type]]="Section",SUMPRODUCT(SUBTOTAL(103,OFFSET(Table42[Part],ROW(Table42[Part])-ROW(CheckList!$C$3),0,1)),--(Table42[Part]=B98))=0),"",SUMPRODUCT(SUBTOTAL(103,OFFSET(Table42[Part],ROW(Table42[Part])-ROW(CheckList!$C$3),0,1)),--(Table42[Part]=B98)))</f>
        <v>2</v>
      </c>
      <c r="J98" s="20">
        <f ca="1">IF(AND(Table21[[#This Row],[Type]]="Section",SUMPRODUCT(SUBTOTAL(103,OFFSET(Table42[Part],ROW(Table42[Part])-ROW(CheckList!$C$3),0,1)),--(Table42[Part]=B98))=0),"",SUMPRODUCT(SUBTOTAL(103,OFFSET(Table42[Part],ROW(Table42[Part])-ROW(CheckList!$C$3),0,1)),--(Table42[Column1]=D98)))</f>
        <v>0</v>
      </c>
      <c r="K98" s="29">
        <f ca="1">IF(AND(Table21[[#This Row],[Type]]="Section",SUMPRODUCT(SUBTOTAL(103,OFFSET(Table42[Part],ROW(Table42[Part])-ROW(CheckList!$C$3),0,1)),--(Table42[Part]=B98))=0),"",IF(I98=0,1,(J98/I98)))</f>
        <v>0</v>
      </c>
    </row>
    <row r="99" spans="2:11" s="7" customFormat="1" ht="13.5" customHeight="1" thickBot="1" x14ac:dyDescent="0.3">
      <c r="B99" s="34" t="s">
        <v>178</v>
      </c>
      <c r="C99" s="35"/>
      <c r="D99" s="35" t="str">
        <f t="shared" si="1"/>
        <v>Section 6 - 2 PES Authoring Rules Checklists Checked</v>
      </c>
      <c r="E99" s="87"/>
      <c r="F99" s="87"/>
      <c r="G99" s="87" t="s">
        <v>122</v>
      </c>
      <c r="H99" s="87" t="s">
        <v>122</v>
      </c>
      <c r="I99" s="36">
        <f ca="1">IF(AND(Table21[[#This Row],[Type]]="Section",SUMPRODUCT(SUBTOTAL(103,OFFSET(Table42[Part],ROW(Table42[Part])-ROW(CheckList!$C$3),0,1)),--(Table42[Part]=B99))=0),"",SUMPRODUCT(SUBTOTAL(103,OFFSET(Table42[Part],ROW(Table42[Part])-ROW(CheckList!$C$3),0,1)),--(Table42[Part]=B99)))</f>
        <v>0</v>
      </c>
      <c r="J99" s="36">
        <f ca="1">IF(AND(Table21[[#This Row],[Type]]="Section",SUMPRODUCT(SUBTOTAL(103,OFFSET(Table42[Part],ROW(Table42[Part])-ROW(CheckList!$C$3),0,1)),--(Table42[Part]=B99))=0),"",SUMPRODUCT(SUBTOTAL(103,OFFSET(Table42[Part],ROW(Table42[Part])-ROW(CheckList!$C$3),0,1)),--(Table42[Column1]=D99)))</f>
        <v>0</v>
      </c>
      <c r="K99" s="37">
        <f ca="1">IF(AND(Table21[[#This Row],[Type]]="Section",SUMPRODUCT(SUBTOTAL(103,OFFSET(Table42[Part],ROW(Table42[Part])-ROW(CheckList!$C$3),0,1)),--(Table42[Part]=B99))=0),"",IF(I99=0,1,(J99/I99)))</f>
        <v>1</v>
      </c>
    </row>
    <row r="100" spans="2:11" s="7" customFormat="1" ht="13.5" hidden="1" customHeight="1" x14ac:dyDescent="0.25">
      <c r="B100" s="30" t="s">
        <v>87</v>
      </c>
      <c r="C100" s="12" t="s">
        <v>11</v>
      </c>
      <c r="D100" s="12" t="str">
        <f t="shared" si="1"/>
        <v>6. PES Related Material Checked</v>
      </c>
      <c r="E100" s="12" t="s">
        <v>122</v>
      </c>
      <c r="F100" s="12" t="s">
        <v>122</v>
      </c>
      <c r="G100" s="12"/>
      <c r="H100" s="12"/>
      <c r="I100" s="21" t="str">
        <f ca="1">IF(AND(Table21[[#This Row],[Type]]="Section",SUMPRODUCT(SUBTOTAL(103,OFFSET(Table42[Part],ROW(Table42[Part])-ROW(CheckList!$C$3),0,1)),--(Table42[Part]=B100))=0),"",SUMPRODUCT(SUBTOTAL(103,OFFSET(Table42[Part],ROW(Table42[Part])-ROW(CheckList!$C$3),0,1)),--(Table42[Part]=B100)))</f>
        <v/>
      </c>
      <c r="J100" s="22" t="str">
        <f ca="1">IF(AND(Table21[[#This Row],[Type]]="Section",SUMPRODUCT(SUBTOTAL(103,OFFSET(Table42[Part],ROW(Table42[Part])-ROW(CheckList!$C$3),0,1)),--(Table42[Part]=B100))=0),"",SUMPRODUCT(SUBTOTAL(103,OFFSET(Table42[Part],ROW(Table42[Part])-ROW(CheckList!$C$3),0,1)),--(Table42[Column1]=D100)))</f>
        <v/>
      </c>
      <c r="K100" s="31" t="str">
        <f ca="1">IF(AND(Table21[[#This Row],[Type]]="Section",SUMPRODUCT(SUBTOTAL(103,OFFSET(Table42[Part],ROW(Table42[Part])-ROW(CheckList!$C$3),0,1)),--(Table42[Part]=B100))=0),"",IF(I100=0,1,(J100/I100)))</f>
        <v/>
      </c>
    </row>
    <row r="101" spans="2:11" ht="13.5" hidden="1" customHeight="1" x14ac:dyDescent="0.25">
      <c r="B101" s="28" t="s">
        <v>91</v>
      </c>
      <c r="C101" s="16"/>
      <c r="D101" s="16" t="str">
        <f t="shared" si="1"/>
        <v>6.1 Reference Materials Checked</v>
      </c>
      <c r="E101" s="86" t="s">
        <v>122</v>
      </c>
      <c r="F101" s="86" t="s">
        <v>122</v>
      </c>
      <c r="G101" s="86"/>
      <c r="H101" s="86"/>
      <c r="I101" s="20">
        <f ca="1">IF(AND(Table21[[#This Row],[Type]]="Section",SUMPRODUCT(SUBTOTAL(103,OFFSET(Table42[Part],ROW(Table42[Part])-ROW(CheckList!$C$3),0,1)),--(Table42[Part]=B101))=0),"",SUMPRODUCT(SUBTOTAL(103,OFFSET(Table42[Part],ROW(Table42[Part])-ROW(CheckList!$C$3),0,1)),--(Table42[Part]=B101)))</f>
        <v>0</v>
      </c>
      <c r="J101" s="20">
        <f ca="1">IF(AND(Table21[[#This Row],[Type]]="Section",SUMPRODUCT(SUBTOTAL(103,OFFSET(Table42[Part],ROW(Table42[Part])-ROW(CheckList!$C$3),0,1)),--(Table42[Part]=B101))=0),"",SUMPRODUCT(SUBTOTAL(103,OFFSET(Table42[Part],ROW(Table42[Part])-ROW(CheckList!$C$3),0,1)),--(Table42[Column1]=D101)))</f>
        <v>0</v>
      </c>
      <c r="K101" s="29">
        <f ca="1">IF(AND(Table21[[#This Row],[Type]]="Section",SUMPRODUCT(SUBTOTAL(103,OFFSET(Table42[Part],ROW(Table42[Part])-ROW(CheckList!$C$3),0,1)),--(Table42[Part]=B101))=0),"",IF(I101=0,1,(J101/I101)))</f>
        <v>1</v>
      </c>
    </row>
    <row r="102" spans="2:11" ht="13.5" hidden="1" customHeight="1" thickBot="1" x14ac:dyDescent="0.3">
      <c r="B102" s="34" t="s">
        <v>182</v>
      </c>
      <c r="C102" s="35"/>
      <c r="D102" s="35" t="str">
        <f t="shared" si="1"/>
        <v>6.2 PES Authoring Rules Checklists Checked</v>
      </c>
      <c r="E102" s="87" t="s">
        <v>122</v>
      </c>
      <c r="F102" s="87" t="s">
        <v>122</v>
      </c>
      <c r="G102" s="87"/>
      <c r="H102" s="87"/>
      <c r="I102" s="36">
        <f ca="1">IF(AND(Table21[[#This Row],[Type]]="Section",SUMPRODUCT(SUBTOTAL(103,OFFSET(Table42[Part],ROW(Table42[Part])-ROW(CheckList!$C$3),0,1)),--(Table42[Part]=B102))=0),"",SUMPRODUCT(SUBTOTAL(103,OFFSET(Table42[Part],ROW(Table42[Part])-ROW(CheckList!$C$3),0,1)),--(Table42[Part]=B102)))</f>
        <v>0</v>
      </c>
      <c r="J102" s="36">
        <f ca="1">IF(AND(Table21[[#This Row],[Type]]="Section",SUMPRODUCT(SUBTOTAL(103,OFFSET(Table42[Part],ROW(Table42[Part])-ROW(CheckList!$C$3),0,1)),--(Table42[Part]=B102))=0),"",SUMPRODUCT(SUBTOTAL(103,OFFSET(Table42[Part],ROW(Table42[Part])-ROW(CheckList!$C$3),0,1)),--(Table42[Column1]=D102)))</f>
        <v>0</v>
      </c>
      <c r="K102" s="37">
        <f ca="1">IF(AND(Table21[[#This Row],[Type]]="Section",SUMPRODUCT(SUBTOTAL(103,OFFSET(Table42[Part],ROW(Table42[Part])-ROW(CheckList!$C$3),0,1)),--(Table42[Part]=B102))=0),"",IF(I102=0,1,(J102/I102)))</f>
        <v>1</v>
      </c>
    </row>
  </sheetData>
  <sheetProtection sheet="1" objects="1" scenarios="1"/>
  <dataConsolidate/>
  <mergeCells count="1">
    <mergeCell ref="B1:K1"/>
  </mergeCells>
  <conditionalFormatting sqref="K3:K6 K8:K15 K17:K23 K25:K38 K40:K58 K60:K70 K72:K75 K77:K91 K93:K95 K98:K99 K101:K102">
    <cfRule type="colorScale" priority="1">
      <colorScale>
        <cfvo type="min"/>
        <cfvo type="percentile" val="50"/>
        <cfvo type="max"/>
        <color rgb="FFF8696B"/>
        <color rgb="FFFFEB84"/>
        <color rgb="FF63BE7B"/>
      </colorScale>
    </cfRule>
  </conditionalFormatting>
  <dataValidations count="2">
    <dataValidation allowBlank="1" showInputMessage="1" sqref="E2:F2" xr:uid="{00000000-0002-0000-0200-000000000000}"/>
    <dataValidation type="list" allowBlank="1" showInputMessage="1" showErrorMessage="1" sqref="B7 B16 B24 B39 B58:B59 B71 B76 B92 B96:B97 B100" xr:uid="{9387F922-8B25-420D-B01E-1D2400814C52}">
      <formula1>Section</formula1>
    </dataValidation>
  </dataValidations>
  <pageMargins left="0.7" right="0.7" top="0.75" bottom="0.75" header="0.3" footer="0.3"/>
  <pageSetup paperSize="9" orientation="portrait" r:id="rId1"/>
  <ignoredErrors>
    <ignoredError sqref="D4" calculatedColumn="1"/>
  </ignoredErrors>
  <picture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A174"/>
  <sheetViews>
    <sheetView tabSelected="1" zoomScale="77" zoomScaleNormal="77" workbookViewId="0">
      <pane xSplit="4" ySplit="2" topLeftCell="X127" activePane="bottomRight" state="frozen"/>
      <selection activeCell="G19" sqref="G19"/>
      <selection pane="topRight" activeCell="G19" sqref="G19"/>
      <selection pane="bottomLeft" activeCell="G19" sqref="G19"/>
      <selection pane="bottomRight" activeCell="D184" sqref="D184"/>
    </sheetView>
  </sheetViews>
  <sheetFormatPr defaultColWidth="8.85546875" defaultRowHeight="15" outlineLevelCol="1" x14ac:dyDescent="0.25"/>
  <cols>
    <col min="1" max="1" width="4.28515625" style="48" bestFit="1" customWidth="1"/>
    <col min="2" max="2" width="34.5703125" style="48" customWidth="1" outlineLevel="1"/>
    <col min="3" max="3" width="51.5703125" style="48" bestFit="1" customWidth="1" outlineLevel="1"/>
    <col min="4" max="4" width="69.7109375" style="93" customWidth="1"/>
    <col min="5" max="5" width="12.28515625" style="80" hidden="1" customWidth="1"/>
    <col min="6" max="6" width="73.140625" style="80" hidden="1" customWidth="1"/>
    <col min="7" max="7" width="11.42578125" style="80" hidden="1" customWidth="1"/>
    <col min="8" max="8" width="16.28515625" style="80" hidden="1" customWidth="1"/>
    <col min="9" max="9" width="9.5703125" style="80" hidden="1" customWidth="1"/>
    <col min="10" max="10" width="8.5703125" style="80" hidden="1" customWidth="1"/>
    <col min="11" max="11" width="10.140625" style="80" hidden="1" customWidth="1"/>
    <col min="12" max="13" width="10.28515625" style="80" hidden="1" customWidth="1"/>
    <col min="14" max="14" width="11.140625" style="80" hidden="1" customWidth="1"/>
    <col min="15" max="15" width="16.85546875" style="80" hidden="1" customWidth="1"/>
    <col min="16" max="16" width="10.85546875" style="80" hidden="1" customWidth="1"/>
    <col min="17" max="17" width="15.140625" style="80" hidden="1" customWidth="1"/>
    <col min="18" max="18" width="10.5703125" style="80" hidden="1" customWidth="1"/>
    <col min="19" max="21" width="14.85546875" style="80" hidden="1" customWidth="1"/>
    <col min="22" max="22" width="16.28515625" style="80" hidden="1" customWidth="1"/>
    <col min="23" max="23" width="19.42578125" style="80" customWidth="1"/>
    <col min="24" max="24" width="70" style="80" customWidth="1"/>
    <col min="25" max="25" width="50.28515625" style="80" customWidth="1"/>
    <col min="26" max="26" width="8.85546875" style="80"/>
    <col min="27" max="27" width="54.5703125" style="123" customWidth="1"/>
    <col min="28" max="16384" width="8.85546875" style="80"/>
  </cols>
  <sheetData>
    <row r="1" spans="1:27" x14ac:dyDescent="0.25">
      <c r="A1" s="119" t="s">
        <v>23</v>
      </c>
      <c r="B1" s="119"/>
      <c r="C1" s="119"/>
      <c r="D1" s="120"/>
      <c r="E1" s="78"/>
      <c r="F1" s="78"/>
      <c r="G1" s="78"/>
      <c r="H1" s="119" t="s">
        <v>121</v>
      </c>
      <c r="I1" s="119"/>
      <c r="J1" s="119"/>
      <c r="K1" s="119"/>
      <c r="L1" s="119"/>
      <c r="M1" s="119"/>
      <c r="N1" s="119"/>
      <c r="O1" s="119"/>
      <c r="P1" s="119"/>
      <c r="Q1" s="119"/>
      <c r="R1" s="119"/>
      <c r="S1" s="119" t="s">
        <v>124</v>
      </c>
      <c r="T1" s="119"/>
      <c r="U1" s="119"/>
      <c r="V1" s="119"/>
    </row>
    <row r="2" spans="1:27" x14ac:dyDescent="0.25">
      <c r="A2" s="48" t="s">
        <v>53</v>
      </c>
      <c r="B2" s="48" t="s">
        <v>18</v>
      </c>
      <c r="C2" s="48" t="s">
        <v>146</v>
      </c>
      <c r="D2" s="91" t="s">
        <v>19</v>
      </c>
      <c r="E2" s="80" t="s">
        <v>49</v>
      </c>
      <c r="F2" s="80" t="s">
        <v>127</v>
      </c>
      <c r="G2" s="80" t="s">
        <v>141</v>
      </c>
      <c r="H2" s="80" t="s">
        <v>113</v>
      </c>
      <c r="I2" s="80" t="s">
        <v>114</v>
      </c>
      <c r="J2" s="80" t="s">
        <v>115</v>
      </c>
      <c r="K2" s="80" t="s">
        <v>25</v>
      </c>
      <c r="L2" s="80" t="s">
        <v>24</v>
      </c>
      <c r="M2" s="80" t="s">
        <v>116</v>
      </c>
      <c r="N2" s="80" t="s">
        <v>142</v>
      </c>
      <c r="O2" s="80" t="s">
        <v>117</v>
      </c>
      <c r="P2" s="80" t="s">
        <v>118</v>
      </c>
      <c r="Q2" s="80" t="s">
        <v>119</v>
      </c>
      <c r="R2" s="80" t="s">
        <v>120</v>
      </c>
      <c r="S2" s="48" t="s">
        <v>125</v>
      </c>
      <c r="T2" s="48" t="s">
        <v>143</v>
      </c>
      <c r="U2" s="48" t="s">
        <v>183</v>
      </c>
      <c r="V2" s="80" t="s">
        <v>184</v>
      </c>
      <c r="W2" s="80" t="s">
        <v>314</v>
      </c>
      <c r="X2" s="80" t="s">
        <v>15</v>
      </c>
      <c r="Y2" s="80" t="s">
        <v>335</v>
      </c>
      <c r="Z2" s="80" t="s">
        <v>341</v>
      </c>
      <c r="AA2" s="123" t="s">
        <v>345</v>
      </c>
    </row>
    <row r="3" spans="1:27" ht="45" hidden="1" x14ac:dyDescent="0.25">
      <c r="A3" s="48">
        <v>5</v>
      </c>
      <c r="B3" s="48" t="s">
        <v>58</v>
      </c>
      <c r="C3" s="48" t="s">
        <v>81</v>
      </c>
      <c r="D3" s="48" t="s">
        <v>240</v>
      </c>
      <c r="E3" s="80" t="s">
        <v>36</v>
      </c>
      <c r="F3" s="80" t="str">
        <f>CONCATENATE(Table42[[#This Row],[Part]]," ",Table42[[#This Row],[Status]])</f>
        <v>1.1 Related requirement and function target delivery Not Checked</v>
      </c>
      <c r="G3" s="81" t="s">
        <v>122</v>
      </c>
      <c r="H3" s="82" t="s">
        <v>122</v>
      </c>
      <c r="I3" s="82" t="s">
        <v>122</v>
      </c>
      <c r="J3" s="82" t="s">
        <v>122</v>
      </c>
      <c r="K3" s="82" t="s">
        <v>122</v>
      </c>
      <c r="L3" s="82" t="s">
        <v>122</v>
      </c>
      <c r="M3" s="82" t="s">
        <v>122</v>
      </c>
      <c r="N3" s="82" t="s">
        <v>122</v>
      </c>
      <c r="O3" s="82" t="s">
        <v>122</v>
      </c>
      <c r="P3" s="82" t="s">
        <v>122</v>
      </c>
      <c r="Q3" s="82" t="s">
        <v>122</v>
      </c>
      <c r="R3" s="82" t="s">
        <v>122</v>
      </c>
      <c r="S3" s="82" t="s">
        <v>122</v>
      </c>
      <c r="T3" s="82" t="s">
        <v>122</v>
      </c>
      <c r="U3" s="82"/>
      <c r="V3" s="82"/>
      <c r="W3" s="82"/>
      <c r="X3" s="82"/>
      <c r="Y3" s="82"/>
      <c r="Z3" s="82"/>
      <c r="AA3" s="82"/>
    </row>
    <row r="4" spans="1:27" ht="30" x14ac:dyDescent="0.25">
      <c r="A4" s="48">
        <v>121</v>
      </c>
      <c r="B4" s="48" t="s">
        <v>194</v>
      </c>
      <c r="C4" s="48" t="s">
        <v>149</v>
      </c>
      <c r="D4" s="91" t="s">
        <v>241</v>
      </c>
      <c r="E4" s="80" t="s">
        <v>36</v>
      </c>
      <c r="F4" s="80" t="str">
        <f>CONCATENATE(Table42[[#This Row],[Part]]," ",Table42[[#This Row],[Status]])</f>
        <v>Section 1 - 1 Related requirement(s) Not Checked</v>
      </c>
      <c r="G4" s="81" t="s">
        <v>122</v>
      </c>
      <c r="H4" s="82" t="s">
        <v>122</v>
      </c>
      <c r="I4" s="82" t="s">
        <v>122</v>
      </c>
      <c r="J4" s="82" t="s">
        <v>122</v>
      </c>
      <c r="K4" s="82" t="s">
        <v>122</v>
      </c>
      <c r="L4" s="82" t="s">
        <v>122</v>
      </c>
      <c r="M4" s="82" t="s">
        <v>122</v>
      </c>
      <c r="N4" s="82" t="s">
        <v>122</v>
      </c>
      <c r="O4" s="82" t="s">
        <v>122</v>
      </c>
      <c r="P4" s="82" t="s">
        <v>122</v>
      </c>
      <c r="Q4" s="82" t="s">
        <v>122</v>
      </c>
      <c r="R4" s="82" t="s">
        <v>122</v>
      </c>
      <c r="S4" s="82"/>
      <c r="T4" s="82"/>
      <c r="U4" s="82" t="s">
        <v>122</v>
      </c>
      <c r="V4" s="82" t="s">
        <v>122</v>
      </c>
      <c r="W4" s="82" t="s">
        <v>313</v>
      </c>
      <c r="X4" s="82"/>
      <c r="Y4" s="82"/>
      <c r="Z4" s="82"/>
      <c r="AA4" s="82"/>
    </row>
    <row r="5" spans="1:27" ht="30" hidden="1" x14ac:dyDescent="0.25">
      <c r="A5" s="48">
        <v>6</v>
      </c>
      <c r="B5" s="48" t="s">
        <v>58</v>
      </c>
      <c r="C5" s="48" t="s">
        <v>61</v>
      </c>
      <c r="D5" s="48" t="s">
        <v>242</v>
      </c>
      <c r="E5" s="80" t="s">
        <v>36</v>
      </c>
      <c r="F5" s="80" t="str">
        <f>CONCATENATE(Table42[[#This Row],[Part]]," ",Table42[[#This Row],[Status]])</f>
        <v>1.2 How this function fits into the customer’s business process Not Checked</v>
      </c>
      <c r="G5" s="81" t="s">
        <v>122</v>
      </c>
      <c r="H5" s="82" t="s">
        <v>122</v>
      </c>
      <c r="I5" s="82" t="s">
        <v>122</v>
      </c>
      <c r="J5" s="82" t="s">
        <v>122</v>
      </c>
      <c r="K5" s="82" t="s">
        <v>122</v>
      </c>
      <c r="L5" s="82" t="s">
        <v>122</v>
      </c>
      <c r="M5" s="82" t="s">
        <v>122</v>
      </c>
      <c r="N5" s="82" t="s">
        <v>122</v>
      </c>
      <c r="O5" s="82" t="s">
        <v>122</v>
      </c>
      <c r="P5" s="82" t="s">
        <v>122</v>
      </c>
      <c r="Q5" s="82" t="s">
        <v>122</v>
      </c>
      <c r="R5" s="82" t="s">
        <v>122</v>
      </c>
      <c r="S5" s="82" t="s">
        <v>122</v>
      </c>
      <c r="T5" s="82" t="s">
        <v>122</v>
      </c>
      <c r="U5" s="82"/>
      <c r="V5" s="82"/>
      <c r="W5" s="82"/>
      <c r="X5" s="82"/>
      <c r="Y5" s="82"/>
      <c r="Z5" s="82"/>
      <c r="AA5" s="82"/>
    </row>
    <row r="6" spans="1:27" ht="30" hidden="1" x14ac:dyDescent="0.25">
      <c r="A6" s="48">
        <v>7</v>
      </c>
      <c r="B6" s="48" t="s">
        <v>58</v>
      </c>
      <c r="C6" s="48" t="s">
        <v>61</v>
      </c>
      <c r="D6" s="48" t="s">
        <v>243</v>
      </c>
      <c r="E6" s="80" t="s">
        <v>36</v>
      </c>
      <c r="F6" s="80" t="str">
        <f>CONCATENATE(Table42[[#This Row],[Part]]," ",Table42[[#This Row],[Status]])</f>
        <v>1.2 How this function fits into the customer’s business process Not Checked</v>
      </c>
      <c r="G6" s="81"/>
      <c r="H6" s="82"/>
      <c r="I6" s="82"/>
      <c r="J6" s="82"/>
      <c r="K6" s="82" t="s">
        <v>122</v>
      </c>
      <c r="L6" s="82" t="s">
        <v>122</v>
      </c>
      <c r="M6" s="82"/>
      <c r="N6" s="82"/>
      <c r="O6" s="82"/>
      <c r="P6" s="82"/>
      <c r="Q6" s="82"/>
      <c r="R6" s="82"/>
      <c r="S6" s="82" t="s">
        <v>122</v>
      </c>
      <c r="T6" s="82" t="s">
        <v>122</v>
      </c>
      <c r="U6" s="82"/>
      <c r="V6" s="82"/>
      <c r="W6" s="82"/>
      <c r="X6" s="82"/>
      <c r="Y6" s="82"/>
      <c r="Z6" s="82"/>
      <c r="AA6" s="82"/>
    </row>
    <row r="7" spans="1:27" ht="30" x14ac:dyDescent="0.25">
      <c r="A7" s="48">
        <v>121</v>
      </c>
      <c r="B7" s="48" t="s">
        <v>194</v>
      </c>
      <c r="C7" s="48" t="s">
        <v>200</v>
      </c>
      <c r="D7" s="91" t="s">
        <v>251</v>
      </c>
      <c r="E7" s="80" t="s">
        <v>36</v>
      </c>
      <c r="F7" s="80" t="str">
        <f>CONCATENATE(Table42[[#This Row],[Part]]," ",Table42[[#This Row],[Status]])</f>
        <v>Section 1 - 2 What will the customer use this for Not Checked</v>
      </c>
      <c r="G7" s="81" t="s">
        <v>122</v>
      </c>
      <c r="H7" s="82" t="s">
        <v>122</v>
      </c>
      <c r="I7" s="82" t="s">
        <v>122</v>
      </c>
      <c r="J7" s="82" t="s">
        <v>122</v>
      </c>
      <c r="K7" s="82" t="s">
        <v>122</v>
      </c>
      <c r="L7" s="82" t="s">
        <v>122</v>
      </c>
      <c r="M7" s="82" t="s">
        <v>122</v>
      </c>
      <c r="N7" s="82" t="s">
        <v>122</v>
      </c>
      <c r="O7" s="82" t="s">
        <v>122</v>
      </c>
      <c r="P7" s="82" t="s">
        <v>122</v>
      </c>
      <c r="Q7" s="82" t="s">
        <v>122</v>
      </c>
      <c r="R7" s="82" t="s">
        <v>122</v>
      </c>
      <c r="S7" s="82"/>
      <c r="T7" s="82"/>
      <c r="U7" s="82" t="s">
        <v>122</v>
      </c>
      <c r="V7" s="82" t="s">
        <v>122</v>
      </c>
      <c r="W7" s="82" t="s">
        <v>313</v>
      </c>
      <c r="X7" s="82"/>
      <c r="Y7" s="82"/>
      <c r="Z7" s="82"/>
      <c r="AA7" s="82"/>
    </row>
    <row r="8" spans="1:27" ht="30" x14ac:dyDescent="0.25">
      <c r="A8" s="48">
        <v>121</v>
      </c>
      <c r="B8" s="48" t="s">
        <v>194</v>
      </c>
      <c r="C8" s="48" t="s">
        <v>200</v>
      </c>
      <c r="D8" s="91" t="s">
        <v>243</v>
      </c>
      <c r="E8" s="80" t="s">
        <v>36</v>
      </c>
      <c r="F8" s="80" t="str">
        <f>CONCATENATE(Table42[[#This Row],[Part]]," ",Table42[[#This Row],[Status]])</f>
        <v>Section 1 - 2 What will the customer use this for Not Checked</v>
      </c>
      <c r="G8" s="81"/>
      <c r="H8" s="82"/>
      <c r="I8" s="82"/>
      <c r="J8" s="82"/>
      <c r="K8" s="82" t="s">
        <v>122</v>
      </c>
      <c r="L8" s="82" t="s">
        <v>122</v>
      </c>
      <c r="M8" s="82"/>
      <c r="N8" s="82"/>
      <c r="O8" s="82"/>
      <c r="P8" s="82"/>
      <c r="Q8" s="82"/>
      <c r="R8" s="82"/>
      <c r="S8" s="82"/>
      <c r="T8" s="82"/>
      <c r="U8" s="82" t="s">
        <v>122</v>
      </c>
      <c r="V8" s="82" t="s">
        <v>122</v>
      </c>
      <c r="W8" s="82" t="s">
        <v>313</v>
      </c>
      <c r="X8" s="82"/>
      <c r="Y8" s="82"/>
      <c r="Z8" s="82"/>
      <c r="AA8" s="82"/>
    </row>
    <row r="9" spans="1:27" ht="30" x14ac:dyDescent="0.25">
      <c r="A9" s="48">
        <v>121</v>
      </c>
      <c r="B9" s="48" t="s">
        <v>194</v>
      </c>
      <c r="C9" s="48" t="s">
        <v>201</v>
      </c>
      <c r="D9" s="91" t="s">
        <v>267</v>
      </c>
      <c r="E9" s="80" t="s">
        <v>36</v>
      </c>
      <c r="F9" s="80" t="str">
        <f>CONCATENATE(Table42[[#This Row],[Part]]," ",Table42[[#This Row],[Status]])</f>
        <v>Section 1 - 3 What the function will do Not Checked</v>
      </c>
      <c r="G9" s="81" t="s">
        <v>122</v>
      </c>
      <c r="H9" s="82" t="s">
        <v>122</v>
      </c>
      <c r="I9" s="82" t="s">
        <v>122</v>
      </c>
      <c r="J9" s="82" t="s">
        <v>122</v>
      </c>
      <c r="K9" s="82" t="s">
        <v>122</v>
      </c>
      <c r="L9" s="82" t="s">
        <v>122</v>
      </c>
      <c r="M9" s="82" t="s">
        <v>122</v>
      </c>
      <c r="N9" s="82" t="s">
        <v>122</v>
      </c>
      <c r="O9" s="82" t="s">
        <v>122</v>
      </c>
      <c r="P9" s="82" t="s">
        <v>122</v>
      </c>
      <c r="Q9" s="82" t="s">
        <v>122</v>
      </c>
      <c r="R9" s="82" t="s">
        <v>122</v>
      </c>
      <c r="S9" s="82"/>
      <c r="T9" s="82"/>
      <c r="U9" s="82" t="s">
        <v>122</v>
      </c>
      <c r="V9" s="82" t="s">
        <v>122</v>
      </c>
      <c r="W9" s="82" t="s">
        <v>313</v>
      </c>
      <c r="X9" s="82"/>
      <c r="Y9" s="82"/>
      <c r="Z9" s="82"/>
      <c r="AA9" s="82"/>
    </row>
    <row r="10" spans="1:27" ht="60" x14ac:dyDescent="0.25">
      <c r="A10" s="48">
        <v>121</v>
      </c>
      <c r="B10" s="48" t="s">
        <v>194</v>
      </c>
      <c r="C10" s="48" t="s">
        <v>201</v>
      </c>
      <c r="D10" s="96" t="s">
        <v>268</v>
      </c>
      <c r="E10" s="80" t="s">
        <v>36</v>
      </c>
      <c r="F10" s="80" t="str">
        <f>CONCATENATE(Table42[[#This Row],[Part]]," ",Table42[[#This Row],[Status]])</f>
        <v>Section 1 - 3 What the function will do Not Checked</v>
      </c>
      <c r="G10" s="81"/>
      <c r="H10" s="82"/>
      <c r="I10" s="82"/>
      <c r="J10" s="82"/>
      <c r="K10" s="82" t="s">
        <v>122</v>
      </c>
      <c r="L10" s="82" t="s">
        <v>122</v>
      </c>
      <c r="M10" s="82"/>
      <c r="N10" s="82"/>
      <c r="O10" s="82"/>
      <c r="P10" s="82"/>
      <c r="Q10" s="82" t="s">
        <v>122</v>
      </c>
      <c r="R10" s="82"/>
      <c r="S10" s="82"/>
      <c r="T10" s="82"/>
      <c r="U10" s="82" t="s">
        <v>122</v>
      </c>
      <c r="V10" s="82" t="s">
        <v>122</v>
      </c>
      <c r="W10" s="82" t="s">
        <v>313</v>
      </c>
      <c r="X10" s="82" t="s">
        <v>340</v>
      </c>
      <c r="Y10" s="82"/>
      <c r="Z10" s="82"/>
      <c r="AA10" s="82"/>
    </row>
    <row r="11" spans="1:27" ht="30" x14ac:dyDescent="0.25">
      <c r="A11" s="48">
        <v>121</v>
      </c>
      <c r="B11" s="48" t="s">
        <v>194</v>
      </c>
      <c r="C11" s="48" t="s">
        <v>150</v>
      </c>
      <c r="D11" s="91" t="s">
        <v>208</v>
      </c>
      <c r="E11" s="80" t="s">
        <v>36</v>
      </c>
      <c r="F11" s="80" t="str">
        <f>CONCATENATE(Table42[[#This Row],[Part]]," ",Table42[[#This Row],[Status]])</f>
        <v>Section 1 - 3.1 Concepts Not Checked</v>
      </c>
      <c r="G11" s="81" t="s">
        <v>122</v>
      </c>
      <c r="H11" s="82" t="s">
        <v>122</v>
      </c>
      <c r="I11" s="82" t="s">
        <v>122</v>
      </c>
      <c r="J11" s="82" t="s">
        <v>122</v>
      </c>
      <c r="K11" s="82" t="s">
        <v>122</v>
      </c>
      <c r="L11" s="82" t="s">
        <v>122</v>
      </c>
      <c r="M11" s="82" t="s">
        <v>122</v>
      </c>
      <c r="N11" s="82" t="s">
        <v>122</v>
      </c>
      <c r="O11" s="82" t="s">
        <v>122</v>
      </c>
      <c r="P11" s="82" t="s">
        <v>122</v>
      </c>
      <c r="Q11" s="82" t="s">
        <v>122</v>
      </c>
      <c r="R11" s="82" t="s">
        <v>122</v>
      </c>
      <c r="S11" s="82"/>
      <c r="T11" s="82"/>
      <c r="U11" s="82" t="s">
        <v>122</v>
      </c>
      <c r="V11" s="82" t="s">
        <v>122</v>
      </c>
      <c r="W11" s="82" t="s">
        <v>313</v>
      </c>
      <c r="X11" s="82"/>
      <c r="Y11" s="82"/>
      <c r="Z11" s="82"/>
      <c r="AA11" s="82"/>
    </row>
    <row r="12" spans="1:27" ht="30" x14ac:dyDescent="0.25">
      <c r="A12" s="48">
        <v>121</v>
      </c>
      <c r="B12" s="48" t="s">
        <v>194</v>
      </c>
      <c r="C12" s="48" t="s">
        <v>150</v>
      </c>
      <c r="D12" s="91" t="s">
        <v>255</v>
      </c>
      <c r="E12" s="80" t="s">
        <v>36</v>
      </c>
      <c r="F12" s="80" t="str">
        <f>CONCATENATE(Table42[[#This Row],[Part]]," ",Table42[[#This Row],[Status]])</f>
        <v>Section 1 - 3.1 Concepts Not Checked</v>
      </c>
      <c r="G12" s="81"/>
      <c r="H12" s="82"/>
      <c r="I12" s="82"/>
      <c r="J12" s="82"/>
      <c r="K12" s="82" t="s">
        <v>122</v>
      </c>
      <c r="L12" s="82" t="s">
        <v>122</v>
      </c>
      <c r="M12" s="82"/>
      <c r="N12" s="82"/>
      <c r="O12" s="82"/>
      <c r="P12" s="82"/>
      <c r="Q12" s="82"/>
      <c r="R12" s="82"/>
      <c r="S12" s="82"/>
      <c r="T12" s="82"/>
      <c r="U12" s="82" t="s">
        <v>122</v>
      </c>
      <c r="V12" s="82" t="s">
        <v>122</v>
      </c>
      <c r="W12" s="82" t="s">
        <v>313</v>
      </c>
      <c r="X12" s="82"/>
      <c r="Y12" s="82"/>
      <c r="Z12" s="82"/>
      <c r="AA12" s="82"/>
    </row>
    <row r="13" spans="1:27" x14ac:dyDescent="0.25">
      <c r="A13" s="48">
        <v>121</v>
      </c>
      <c r="B13" s="48" t="s">
        <v>194</v>
      </c>
      <c r="C13" s="48" t="s">
        <v>150</v>
      </c>
      <c r="D13" s="91" t="s">
        <v>48</v>
      </c>
      <c r="E13" s="80" t="s">
        <v>36</v>
      </c>
      <c r="F13" s="80" t="str">
        <f>CONCATENATE(Table42[[#This Row],[Part]]," ",Table42[[#This Row],[Status]])</f>
        <v>Section 1 - 3.1 Concepts Not Checked</v>
      </c>
      <c r="G13" s="81"/>
      <c r="H13" s="82"/>
      <c r="I13" s="82"/>
      <c r="J13" s="82"/>
      <c r="K13" s="82" t="s">
        <v>122</v>
      </c>
      <c r="L13" s="82" t="s">
        <v>122</v>
      </c>
      <c r="M13" s="82"/>
      <c r="N13" s="82"/>
      <c r="O13" s="82"/>
      <c r="P13" s="82"/>
      <c r="Q13" s="82"/>
      <c r="R13" s="82"/>
      <c r="S13" s="82"/>
      <c r="T13" s="82"/>
      <c r="U13" s="82" t="s">
        <v>122</v>
      </c>
      <c r="V13" s="82" t="s">
        <v>122</v>
      </c>
      <c r="W13" s="82" t="s">
        <v>313</v>
      </c>
      <c r="X13" s="82"/>
      <c r="Y13" s="82"/>
      <c r="Z13" s="82"/>
      <c r="AA13" s="82"/>
    </row>
    <row r="14" spans="1:27" ht="90" x14ac:dyDescent="0.25">
      <c r="A14" s="48">
        <v>121</v>
      </c>
      <c r="B14" s="48" t="s">
        <v>194</v>
      </c>
      <c r="C14" s="48" t="s">
        <v>150</v>
      </c>
      <c r="D14" s="94" t="s">
        <v>256</v>
      </c>
      <c r="E14" s="80" t="s">
        <v>36</v>
      </c>
      <c r="F14" s="80" t="str">
        <f>CONCATENATE(Table42[[#This Row],[Part]]," ",Table42[[#This Row],[Status]])</f>
        <v>Section 1 - 3.1 Concepts Not Checked</v>
      </c>
      <c r="G14" s="81"/>
      <c r="H14" s="82"/>
      <c r="I14" s="82"/>
      <c r="J14" s="82"/>
      <c r="K14" s="82" t="s">
        <v>122</v>
      </c>
      <c r="L14" s="82" t="s">
        <v>122</v>
      </c>
      <c r="M14" s="82"/>
      <c r="N14" s="82"/>
      <c r="O14" s="82"/>
      <c r="P14" s="82"/>
      <c r="Q14" s="82"/>
      <c r="R14" s="82"/>
      <c r="S14" s="82"/>
      <c r="T14" s="82"/>
      <c r="U14" s="82" t="s">
        <v>122</v>
      </c>
      <c r="V14" s="82" t="s">
        <v>122</v>
      </c>
      <c r="W14" s="82" t="s">
        <v>322</v>
      </c>
      <c r="X14" s="82" t="s">
        <v>328</v>
      </c>
      <c r="Y14" s="82" t="s">
        <v>338</v>
      </c>
      <c r="Z14" s="82"/>
      <c r="AA14" s="82"/>
    </row>
    <row r="15" spans="1:27" ht="30" hidden="1" customHeight="1" x14ac:dyDescent="0.25">
      <c r="A15" s="48">
        <v>8</v>
      </c>
      <c r="B15" s="48" t="s">
        <v>58</v>
      </c>
      <c r="C15" s="48" t="s">
        <v>82</v>
      </c>
      <c r="D15" s="48" t="s">
        <v>252</v>
      </c>
      <c r="E15" s="80" t="s">
        <v>36</v>
      </c>
      <c r="F15" s="80" t="str">
        <f>CONCATENATE(Table42[[#This Row],[Part]]," ",Table42[[#This Row],[Status]])</f>
        <v>1.3.1 Function Capability Overview / Conceptual Model Not Checked</v>
      </c>
      <c r="G15" s="81" t="s">
        <v>122</v>
      </c>
      <c r="H15" s="82" t="s">
        <v>122</v>
      </c>
      <c r="I15" s="82" t="s">
        <v>122</v>
      </c>
      <c r="J15" s="82" t="s">
        <v>122</v>
      </c>
      <c r="K15" s="82" t="s">
        <v>122</v>
      </c>
      <c r="L15" s="82" t="s">
        <v>122</v>
      </c>
      <c r="M15" s="82" t="s">
        <v>122</v>
      </c>
      <c r="N15" s="82" t="s">
        <v>122</v>
      </c>
      <c r="O15" s="82" t="s">
        <v>122</v>
      </c>
      <c r="P15" s="82" t="s">
        <v>122</v>
      </c>
      <c r="Q15" s="82" t="s">
        <v>122</v>
      </c>
      <c r="R15" s="82" t="s">
        <v>122</v>
      </c>
      <c r="S15" s="82" t="s">
        <v>122</v>
      </c>
      <c r="T15" s="82" t="s">
        <v>122</v>
      </c>
      <c r="U15" s="82"/>
      <c r="V15" s="82"/>
      <c r="W15" s="82"/>
      <c r="X15" s="82"/>
      <c r="Y15" s="82" t="s">
        <v>336</v>
      </c>
      <c r="Z15" s="82"/>
      <c r="AA15" s="82"/>
    </row>
    <row r="16" spans="1:27" ht="30" hidden="1" customHeight="1" x14ac:dyDescent="0.25">
      <c r="A16" s="48">
        <v>9</v>
      </c>
      <c r="B16" s="48" t="s">
        <v>58</v>
      </c>
      <c r="C16" s="48" t="s">
        <v>82</v>
      </c>
      <c r="D16" s="48" t="s">
        <v>253</v>
      </c>
      <c r="E16" s="80" t="s">
        <v>36</v>
      </c>
      <c r="F16" s="80" t="str">
        <f>CONCATENATE(Table42[[#This Row],[Part]]," ",Table42[[#This Row],[Status]])</f>
        <v>1.3.1 Function Capability Overview / Conceptual Model Not Checked</v>
      </c>
      <c r="G16" s="81" t="s">
        <v>122</v>
      </c>
      <c r="H16" s="82"/>
      <c r="I16" s="82" t="s">
        <v>122</v>
      </c>
      <c r="J16" s="82" t="s">
        <v>122</v>
      </c>
      <c r="K16" s="82" t="s">
        <v>122</v>
      </c>
      <c r="L16" s="82" t="s">
        <v>122</v>
      </c>
      <c r="M16" s="82" t="s">
        <v>122</v>
      </c>
      <c r="N16" s="82" t="s">
        <v>122</v>
      </c>
      <c r="O16" s="82" t="s">
        <v>122</v>
      </c>
      <c r="P16" s="82" t="s">
        <v>122</v>
      </c>
      <c r="Q16" s="82" t="s">
        <v>122</v>
      </c>
      <c r="R16" s="82" t="s">
        <v>122</v>
      </c>
      <c r="S16" s="82" t="s">
        <v>122</v>
      </c>
      <c r="T16" s="82" t="s">
        <v>122</v>
      </c>
      <c r="U16" s="82"/>
      <c r="V16" s="82"/>
      <c r="W16" s="82"/>
      <c r="X16" s="82"/>
      <c r="Y16" s="82" t="s">
        <v>337</v>
      </c>
      <c r="Z16" s="82"/>
      <c r="AA16" s="82"/>
    </row>
    <row r="17" spans="1:27" ht="30" hidden="1" x14ac:dyDescent="0.25">
      <c r="A17" s="48">
        <v>12</v>
      </c>
      <c r="B17" s="48" t="s">
        <v>58</v>
      </c>
      <c r="C17" s="48" t="s">
        <v>82</v>
      </c>
      <c r="D17" s="48" t="s">
        <v>263</v>
      </c>
      <c r="E17" s="80" t="s">
        <v>36</v>
      </c>
      <c r="F17" s="80" t="str">
        <f>CONCATENATE(Table42[[#This Row],[Part]]," ",Table42[[#This Row],[Status]])</f>
        <v>1.3.1 Function Capability Overview / Conceptual Model Not Checked</v>
      </c>
      <c r="G17" s="81"/>
      <c r="H17" s="82"/>
      <c r="I17" s="82"/>
      <c r="J17" s="82"/>
      <c r="K17" s="82" t="s">
        <v>122</v>
      </c>
      <c r="L17" s="82"/>
      <c r="M17" s="82"/>
      <c r="N17" s="82"/>
      <c r="O17" s="82"/>
      <c r="P17" s="82"/>
      <c r="Q17" s="82" t="s">
        <v>122</v>
      </c>
      <c r="R17" s="82"/>
      <c r="S17" s="82" t="s">
        <v>122</v>
      </c>
      <c r="T17" s="82" t="s">
        <v>122</v>
      </c>
      <c r="U17" s="82"/>
      <c r="V17" s="82"/>
      <c r="W17" s="82"/>
      <c r="X17" s="82"/>
      <c r="Y17" s="82"/>
      <c r="Z17" s="82"/>
      <c r="AA17" s="82"/>
    </row>
    <row r="18" spans="1:27" ht="30" hidden="1" x14ac:dyDescent="0.25">
      <c r="A18" s="48">
        <v>13</v>
      </c>
      <c r="B18" s="48" t="s">
        <v>58</v>
      </c>
      <c r="C18" s="48" t="s">
        <v>82</v>
      </c>
      <c r="D18" s="48" t="s">
        <v>255</v>
      </c>
      <c r="E18" s="80" t="s">
        <v>36</v>
      </c>
      <c r="F18" s="80" t="str">
        <f>CONCATENATE(Table42[[#This Row],[Part]]," ",Table42[[#This Row],[Status]])</f>
        <v>1.3.1 Function Capability Overview / Conceptual Model Not Checked</v>
      </c>
      <c r="G18" s="81"/>
      <c r="H18" s="82"/>
      <c r="I18" s="82"/>
      <c r="J18" s="82"/>
      <c r="K18" s="82" t="s">
        <v>122</v>
      </c>
      <c r="L18" s="82" t="s">
        <v>122</v>
      </c>
      <c r="M18" s="82"/>
      <c r="N18" s="82"/>
      <c r="O18" s="82"/>
      <c r="P18" s="82"/>
      <c r="Q18" s="82"/>
      <c r="R18" s="82"/>
      <c r="S18" s="82" t="s">
        <v>122</v>
      </c>
      <c r="T18" s="82" t="s">
        <v>122</v>
      </c>
      <c r="U18" s="82"/>
      <c r="V18" s="82"/>
      <c r="W18" s="82"/>
      <c r="X18" s="82"/>
      <c r="Y18" s="82"/>
      <c r="Z18" s="82"/>
      <c r="AA18" s="82"/>
    </row>
    <row r="19" spans="1:27" hidden="1" x14ac:dyDescent="0.25">
      <c r="A19" s="48">
        <v>14</v>
      </c>
      <c r="B19" s="48" t="s">
        <v>58</v>
      </c>
      <c r="C19" s="48" t="s">
        <v>82</v>
      </c>
      <c r="D19" s="48" t="s">
        <v>48</v>
      </c>
      <c r="E19" s="80" t="s">
        <v>36</v>
      </c>
      <c r="F19" s="80" t="str">
        <f>CONCATENATE(Table42[[#This Row],[Part]]," ",Table42[[#This Row],[Status]])</f>
        <v>1.3.1 Function Capability Overview / Conceptual Model Not Checked</v>
      </c>
      <c r="G19" s="81"/>
      <c r="H19" s="82"/>
      <c r="I19" s="82"/>
      <c r="J19" s="82"/>
      <c r="K19" s="82" t="s">
        <v>122</v>
      </c>
      <c r="L19" s="82" t="s">
        <v>122</v>
      </c>
      <c r="M19" s="82"/>
      <c r="N19" s="82"/>
      <c r="O19" s="82"/>
      <c r="P19" s="82"/>
      <c r="Q19" s="82"/>
      <c r="R19" s="82"/>
      <c r="S19" s="82" t="s">
        <v>122</v>
      </c>
      <c r="T19" s="82" t="s">
        <v>122</v>
      </c>
      <c r="U19" s="82"/>
      <c r="V19" s="82"/>
      <c r="W19" s="82"/>
      <c r="X19" s="82"/>
      <c r="Y19" s="82"/>
      <c r="Z19" s="82"/>
      <c r="AA19" s="82"/>
    </row>
    <row r="20" spans="1:27" ht="60" hidden="1" x14ac:dyDescent="0.25">
      <c r="A20" s="48">
        <v>15</v>
      </c>
      <c r="B20" s="48" t="s">
        <v>58</v>
      </c>
      <c r="C20" s="48" t="s">
        <v>82</v>
      </c>
      <c r="D20" s="48" t="s">
        <v>256</v>
      </c>
      <c r="E20" s="80" t="s">
        <v>36</v>
      </c>
      <c r="F20" s="80" t="str">
        <f>CONCATENATE(Table42[[#This Row],[Part]]," ",Table42[[#This Row],[Status]])</f>
        <v>1.3.1 Function Capability Overview / Conceptual Model Not Checked</v>
      </c>
      <c r="G20" s="81"/>
      <c r="H20" s="82"/>
      <c r="I20" s="82"/>
      <c r="J20" s="82"/>
      <c r="K20" s="82" t="s">
        <v>122</v>
      </c>
      <c r="L20" s="82" t="s">
        <v>122</v>
      </c>
      <c r="M20" s="82"/>
      <c r="N20" s="82"/>
      <c r="O20" s="82"/>
      <c r="P20" s="82"/>
      <c r="Q20" s="82"/>
      <c r="R20" s="82"/>
      <c r="S20" s="82" t="s">
        <v>122</v>
      </c>
      <c r="T20" s="82" t="s">
        <v>122</v>
      </c>
      <c r="U20" s="82"/>
      <c r="V20" s="82"/>
      <c r="W20" s="82"/>
      <c r="X20" s="82"/>
      <c r="Y20" s="82"/>
      <c r="Z20" s="82"/>
      <c r="AA20" s="82"/>
    </row>
    <row r="21" spans="1:27" ht="30" x14ac:dyDescent="0.25">
      <c r="A21" s="48">
        <v>121</v>
      </c>
      <c r="B21" s="48" t="s">
        <v>194</v>
      </c>
      <c r="C21" s="48" t="s">
        <v>151</v>
      </c>
      <c r="D21" s="91" t="s">
        <v>209</v>
      </c>
      <c r="E21" s="80" t="s">
        <v>36</v>
      </c>
      <c r="F21" s="80" t="str">
        <f>CONCATENATE(Table42[[#This Row],[Part]]," ",Table42[[#This Row],[Status]])</f>
        <v>Section 1 - 3.2 Function capabilities overview Not Checked</v>
      </c>
      <c r="G21" s="81" t="s">
        <v>122</v>
      </c>
      <c r="H21" s="82" t="s">
        <v>122</v>
      </c>
      <c r="I21" s="82" t="s">
        <v>122</v>
      </c>
      <c r="J21" s="82" t="s">
        <v>122</v>
      </c>
      <c r="K21" s="82" t="s">
        <v>122</v>
      </c>
      <c r="L21" s="82" t="s">
        <v>122</v>
      </c>
      <c r="M21" s="82" t="s">
        <v>122</v>
      </c>
      <c r="N21" s="82" t="s">
        <v>122</v>
      </c>
      <c r="O21" s="82" t="s">
        <v>122</v>
      </c>
      <c r="P21" s="82" t="s">
        <v>122</v>
      </c>
      <c r="Q21" s="82" t="s">
        <v>122</v>
      </c>
      <c r="R21" s="82" t="s">
        <v>122</v>
      </c>
      <c r="S21" s="82"/>
      <c r="T21" s="82"/>
      <c r="U21" s="82" t="s">
        <v>122</v>
      </c>
      <c r="V21" s="82" t="s">
        <v>122</v>
      </c>
      <c r="W21" s="82" t="s">
        <v>313</v>
      </c>
      <c r="X21" s="82"/>
      <c r="Y21" s="82"/>
      <c r="Z21" s="82"/>
      <c r="AA21" s="82"/>
    </row>
    <row r="22" spans="1:27" ht="30" x14ac:dyDescent="0.25">
      <c r="A22" s="48">
        <v>121</v>
      </c>
      <c r="B22" s="48" t="s">
        <v>194</v>
      </c>
      <c r="C22" s="48" t="s">
        <v>151</v>
      </c>
      <c r="D22" s="91" t="s">
        <v>264</v>
      </c>
      <c r="E22" s="80" t="s">
        <v>36</v>
      </c>
      <c r="F22" s="80" t="str">
        <f>CONCATENATE(Table42[[#This Row],[Part]]," ",Table42[[#This Row],[Status]])</f>
        <v>Section 1 - 3.2 Function capabilities overview Not Checked</v>
      </c>
      <c r="G22" s="81" t="s">
        <v>122</v>
      </c>
      <c r="H22" s="82"/>
      <c r="I22" s="82" t="s">
        <v>122</v>
      </c>
      <c r="J22" s="82" t="s">
        <v>122</v>
      </c>
      <c r="K22" s="82" t="s">
        <v>122</v>
      </c>
      <c r="L22" s="82" t="s">
        <v>122</v>
      </c>
      <c r="M22" s="82" t="s">
        <v>122</v>
      </c>
      <c r="N22" s="82" t="s">
        <v>122</v>
      </c>
      <c r="O22" s="82" t="s">
        <v>122</v>
      </c>
      <c r="P22" s="82" t="s">
        <v>122</v>
      </c>
      <c r="Q22" s="82" t="s">
        <v>122</v>
      </c>
      <c r="R22" s="82" t="s">
        <v>122</v>
      </c>
      <c r="S22" s="82"/>
      <c r="T22" s="82"/>
      <c r="U22" s="82" t="s">
        <v>122</v>
      </c>
      <c r="V22" s="82" t="s">
        <v>122</v>
      </c>
      <c r="W22" s="82" t="s">
        <v>313</v>
      </c>
      <c r="X22" s="82"/>
      <c r="Y22" s="82"/>
      <c r="Z22" s="82"/>
      <c r="AA22" s="82"/>
    </row>
    <row r="23" spans="1:27" ht="60" x14ac:dyDescent="0.25">
      <c r="A23" s="48">
        <v>121</v>
      </c>
      <c r="B23" s="48" t="s">
        <v>194</v>
      </c>
      <c r="C23" s="48" t="s">
        <v>151</v>
      </c>
      <c r="D23" s="94" t="s">
        <v>263</v>
      </c>
      <c r="E23" s="80" t="s">
        <v>36</v>
      </c>
      <c r="F23" s="80" t="str">
        <f>CONCATENATE(Table42[[#This Row],[Part]]," ",Table42[[#This Row],[Status]])</f>
        <v>Section 1 - 3.2 Function capabilities overview Not Checked</v>
      </c>
      <c r="G23" s="81"/>
      <c r="H23" s="82"/>
      <c r="I23" s="82"/>
      <c r="J23" s="82"/>
      <c r="K23" s="82" t="s">
        <v>122</v>
      </c>
      <c r="L23" s="82"/>
      <c r="M23" s="82"/>
      <c r="N23" s="82"/>
      <c r="O23" s="82"/>
      <c r="P23" s="82"/>
      <c r="Q23" s="82" t="s">
        <v>122</v>
      </c>
      <c r="R23" s="82"/>
      <c r="S23" s="82"/>
      <c r="T23" s="82"/>
      <c r="U23" s="82" t="s">
        <v>122</v>
      </c>
      <c r="V23" s="82" t="s">
        <v>122</v>
      </c>
      <c r="W23" s="82" t="s">
        <v>322</v>
      </c>
      <c r="X23" s="82" t="s">
        <v>323</v>
      </c>
      <c r="Y23" s="82" t="s">
        <v>315</v>
      </c>
      <c r="Z23" s="82"/>
      <c r="AA23" s="82"/>
    </row>
    <row r="24" spans="1:27" ht="30" hidden="1" x14ac:dyDescent="0.25">
      <c r="A24" s="48">
        <v>16</v>
      </c>
      <c r="B24" s="48" t="s">
        <v>58</v>
      </c>
      <c r="C24" s="48" t="s">
        <v>63</v>
      </c>
      <c r="D24" s="48" t="s">
        <v>258</v>
      </c>
      <c r="E24" s="80" t="s">
        <v>36</v>
      </c>
      <c r="F24" s="80" t="str">
        <f>CONCATENATE(Table42[[#This Row],[Part]]," ",Table42[[#This Row],[Status]])</f>
        <v>1.3.2 Quality of services including security controls Not Checked</v>
      </c>
      <c r="G24" s="81" t="s">
        <v>122</v>
      </c>
      <c r="H24" s="82" t="s">
        <v>122</v>
      </c>
      <c r="I24" s="82" t="s">
        <v>122</v>
      </c>
      <c r="J24" s="82" t="s">
        <v>122</v>
      </c>
      <c r="K24" s="82" t="s">
        <v>122</v>
      </c>
      <c r="L24" s="82" t="s">
        <v>122</v>
      </c>
      <c r="M24" s="82" t="s">
        <v>122</v>
      </c>
      <c r="N24" s="82" t="s">
        <v>122</v>
      </c>
      <c r="O24" s="82" t="s">
        <v>122</v>
      </c>
      <c r="P24" s="82" t="s">
        <v>122</v>
      </c>
      <c r="Q24" s="82" t="s">
        <v>122</v>
      </c>
      <c r="R24" s="82" t="s">
        <v>122</v>
      </c>
      <c r="S24" s="82" t="s">
        <v>122</v>
      </c>
      <c r="T24" s="82" t="s">
        <v>122</v>
      </c>
      <c r="U24" s="82"/>
      <c r="V24" s="82"/>
      <c r="W24" s="82"/>
      <c r="X24" s="82"/>
      <c r="Y24" s="82"/>
      <c r="Z24" s="82"/>
      <c r="AA24" s="82"/>
    </row>
    <row r="25" spans="1:27" ht="30" hidden="1" x14ac:dyDescent="0.25">
      <c r="A25" s="48">
        <v>17</v>
      </c>
      <c r="B25" s="48" t="s">
        <v>58</v>
      </c>
      <c r="C25" s="48" t="s">
        <v>63</v>
      </c>
      <c r="D25" s="48" t="s">
        <v>265</v>
      </c>
      <c r="E25" s="80" t="s">
        <v>36</v>
      </c>
      <c r="F25" s="80" t="str">
        <f>CONCATENATE(Table42[[#This Row],[Part]]," ",Table42[[#This Row],[Status]])</f>
        <v>1.3.2 Quality of services including security controls Not Checked</v>
      </c>
      <c r="G25" s="81" t="s">
        <v>122</v>
      </c>
      <c r="H25" s="82" t="s">
        <v>122</v>
      </c>
      <c r="I25" s="82" t="s">
        <v>122</v>
      </c>
      <c r="J25" s="82" t="s">
        <v>122</v>
      </c>
      <c r="K25" s="82" t="s">
        <v>122</v>
      </c>
      <c r="L25" s="82" t="s">
        <v>122</v>
      </c>
      <c r="M25" s="82" t="s">
        <v>122</v>
      </c>
      <c r="N25" s="82" t="s">
        <v>122</v>
      </c>
      <c r="O25" s="82" t="s">
        <v>122</v>
      </c>
      <c r="P25" s="82" t="s">
        <v>122</v>
      </c>
      <c r="Q25" s="82" t="s">
        <v>122</v>
      </c>
      <c r="R25" s="82" t="s">
        <v>122</v>
      </c>
      <c r="S25" s="82" t="s">
        <v>122</v>
      </c>
      <c r="T25" s="82" t="s">
        <v>122</v>
      </c>
      <c r="U25" s="82"/>
      <c r="V25" s="82"/>
      <c r="W25" s="82"/>
      <c r="X25" s="82"/>
      <c r="Y25" s="82"/>
      <c r="Z25" s="82"/>
      <c r="AA25" s="82"/>
    </row>
    <row r="26" spans="1:27" x14ac:dyDescent="0.25">
      <c r="A26" s="48">
        <v>121</v>
      </c>
      <c r="B26" s="48" t="s">
        <v>194</v>
      </c>
      <c r="C26" s="48" t="s">
        <v>152</v>
      </c>
      <c r="D26" s="91" t="s">
        <v>210</v>
      </c>
      <c r="E26" s="80" t="s">
        <v>36</v>
      </c>
      <c r="F26" s="80" t="str">
        <f>CONCATENATE(Table42[[#This Row],[Part]]," ",Table42[[#This Row],[Status]])</f>
        <v>Section 1 - 3.3 Limitations Not Checked</v>
      </c>
      <c r="G26" s="81" t="s">
        <v>122</v>
      </c>
      <c r="H26" s="82" t="s">
        <v>122</v>
      </c>
      <c r="I26" s="82" t="s">
        <v>122</v>
      </c>
      <c r="J26" s="82" t="s">
        <v>122</v>
      </c>
      <c r="K26" s="82" t="s">
        <v>122</v>
      </c>
      <c r="L26" s="82" t="s">
        <v>122</v>
      </c>
      <c r="M26" s="82" t="s">
        <v>122</v>
      </c>
      <c r="N26" s="82" t="s">
        <v>122</v>
      </c>
      <c r="O26" s="82" t="s">
        <v>122</v>
      </c>
      <c r="P26" s="82" t="s">
        <v>122</v>
      </c>
      <c r="Q26" s="82" t="s">
        <v>122</v>
      </c>
      <c r="R26" s="82" t="s">
        <v>122</v>
      </c>
      <c r="S26" s="82"/>
      <c r="T26" s="82"/>
      <c r="U26" s="82" t="s">
        <v>122</v>
      </c>
      <c r="V26" s="82" t="s">
        <v>122</v>
      </c>
      <c r="W26" s="82" t="s">
        <v>313</v>
      </c>
      <c r="X26" s="82"/>
      <c r="Y26" s="82"/>
      <c r="Z26" s="82"/>
      <c r="AA26" s="82"/>
    </row>
    <row r="27" spans="1:27" ht="45" x14ac:dyDescent="0.25">
      <c r="A27" s="48">
        <v>121</v>
      </c>
      <c r="B27" s="48" t="s">
        <v>194</v>
      </c>
      <c r="C27" s="48" t="s">
        <v>152</v>
      </c>
      <c r="D27" s="91" t="s">
        <v>266</v>
      </c>
      <c r="E27" s="80" t="s">
        <v>36</v>
      </c>
      <c r="F27" s="80" t="str">
        <f>CONCATENATE(Table42[[#This Row],[Part]]," ",Table42[[#This Row],[Status]])</f>
        <v>Section 1 - 3.3 Limitations Not Checked</v>
      </c>
      <c r="G27" s="81"/>
      <c r="H27" s="82"/>
      <c r="I27" s="82"/>
      <c r="J27" s="82"/>
      <c r="K27" s="82"/>
      <c r="L27" s="82" t="s">
        <v>122</v>
      </c>
      <c r="M27" s="82"/>
      <c r="N27" s="82"/>
      <c r="O27" s="82"/>
      <c r="P27" s="82"/>
      <c r="Q27" s="82"/>
      <c r="R27" s="82"/>
      <c r="S27" s="82"/>
      <c r="T27" s="82"/>
      <c r="U27" s="82" t="s">
        <v>122</v>
      </c>
      <c r="V27" s="82" t="s">
        <v>122</v>
      </c>
      <c r="W27" s="82" t="s">
        <v>313</v>
      </c>
      <c r="X27" s="82"/>
      <c r="Y27" s="82"/>
      <c r="Z27" s="82"/>
      <c r="AA27" s="82"/>
    </row>
    <row r="28" spans="1:27" ht="30" x14ac:dyDescent="0.25">
      <c r="A28" s="48">
        <v>121</v>
      </c>
      <c r="B28" s="48" t="s">
        <v>194</v>
      </c>
      <c r="C28" s="48" t="s">
        <v>152</v>
      </c>
      <c r="D28" s="91" t="s">
        <v>244</v>
      </c>
      <c r="E28" s="80" t="s">
        <v>36</v>
      </c>
      <c r="F28" s="80" t="str">
        <f>CONCATENATE(Table42[[#This Row],[Part]]," ",Table42[[#This Row],[Status]])</f>
        <v>Section 1 - 3.3 Limitations Not Checked</v>
      </c>
      <c r="G28" s="81"/>
      <c r="H28" s="82"/>
      <c r="I28" s="82"/>
      <c r="J28" s="82"/>
      <c r="K28" s="82" t="s">
        <v>122</v>
      </c>
      <c r="L28" s="82" t="s">
        <v>122</v>
      </c>
      <c r="M28" s="82"/>
      <c r="N28" s="82"/>
      <c r="O28" s="82"/>
      <c r="P28" s="82"/>
      <c r="Q28" s="82"/>
      <c r="R28" s="82"/>
      <c r="S28" s="82"/>
      <c r="T28" s="82"/>
      <c r="U28" s="82" t="s">
        <v>122</v>
      </c>
      <c r="V28" s="82" t="s">
        <v>122</v>
      </c>
      <c r="W28" s="82" t="s">
        <v>313</v>
      </c>
      <c r="X28" s="82"/>
      <c r="Y28" s="82"/>
      <c r="Z28" s="82"/>
      <c r="AA28" s="82"/>
    </row>
    <row r="29" spans="1:27" x14ac:dyDescent="0.25">
      <c r="A29" s="48">
        <v>121</v>
      </c>
      <c r="B29" s="48" t="s">
        <v>194</v>
      </c>
      <c r="C29" s="48" t="s">
        <v>152</v>
      </c>
      <c r="D29" s="91" t="s">
        <v>44</v>
      </c>
      <c r="E29" s="80" t="s">
        <v>36</v>
      </c>
      <c r="F29" s="80" t="str">
        <f>CONCATENATE(Table42[[#This Row],[Part]]," ",Table42[[#This Row],[Status]])</f>
        <v>Section 1 - 3.3 Limitations Not Checked</v>
      </c>
      <c r="G29" s="81"/>
      <c r="H29" s="82"/>
      <c r="I29" s="82"/>
      <c r="J29" s="82"/>
      <c r="K29" s="82"/>
      <c r="L29" s="82" t="s">
        <v>122</v>
      </c>
      <c r="M29" s="82"/>
      <c r="N29" s="82"/>
      <c r="O29" s="82"/>
      <c r="P29" s="82"/>
      <c r="Q29" s="82" t="s">
        <v>122</v>
      </c>
      <c r="R29" s="82"/>
      <c r="S29" s="82"/>
      <c r="T29" s="82"/>
      <c r="U29" s="82" t="s">
        <v>122</v>
      </c>
      <c r="V29" s="82" t="s">
        <v>122</v>
      </c>
      <c r="W29" s="82" t="s">
        <v>313</v>
      </c>
      <c r="X29" s="82"/>
      <c r="Y29" s="82"/>
      <c r="Z29" s="82"/>
      <c r="AA29" s="82"/>
    </row>
    <row r="30" spans="1:27" ht="30" x14ac:dyDescent="0.25">
      <c r="A30" s="48">
        <v>121</v>
      </c>
      <c r="B30" s="48" t="s">
        <v>194</v>
      </c>
      <c r="C30" s="48" t="s">
        <v>152</v>
      </c>
      <c r="D30" s="94" t="s">
        <v>250</v>
      </c>
      <c r="E30" s="80" t="s">
        <v>36</v>
      </c>
      <c r="F30" s="80" t="str">
        <f>CONCATENATE(Table42[[#This Row],[Part]]," ",Table42[[#This Row],[Status]])</f>
        <v>Section 1 - 3.3 Limitations Not Checked</v>
      </c>
      <c r="G30" s="81"/>
      <c r="H30" s="82"/>
      <c r="I30" s="82"/>
      <c r="J30" s="82"/>
      <c r="K30" s="82" t="s">
        <v>122</v>
      </c>
      <c r="L30" s="82" t="s">
        <v>122</v>
      </c>
      <c r="M30" s="82"/>
      <c r="N30" s="82"/>
      <c r="O30" s="82"/>
      <c r="P30" s="82"/>
      <c r="Q30" s="82" t="s">
        <v>122</v>
      </c>
      <c r="R30" s="82"/>
      <c r="S30" s="82"/>
      <c r="T30" s="82"/>
      <c r="U30" s="82" t="s">
        <v>122</v>
      </c>
      <c r="V30" s="82" t="s">
        <v>122</v>
      </c>
      <c r="W30" s="82" t="s">
        <v>322</v>
      </c>
      <c r="X30" s="82"/>
      <c r="Y30" s="82"/>
      <c r="Z30" s="82"/>
      <c r="AA30" s="82"/>
    </row>
    <row r="31" spans="1:27" ht="45" x14ac:dyDescent="0.25">
      <c r="A31" s="48">
        <v>121</v>
      </c>
      <c r="B31" s="48" t="s">
        <v>194</v>
      </c>
      <c r="C31" s="48" t="s">
        <v>152</v>
      </c>
      <c r="D31" s="94" t="s">
        <v>98</v>
      </c>
      <c r="E31" s="80" t="s">
        <v>36</v>
      </c>
      <c r="F31" s="80" t="str">
        <f>CONCATENATE(Table42[[#This Row],[Part]]," ",Table42[[#This Row],[Status]])</f>
        <v>Section 1 - 3.3 Limitations Not Checked</v>
      </c>
      <c r="G31" s="81"/>
      <c r="H31" s="82"/>
      <c r="I31" s="82"/>
      <c r="J31" s="82"/>
      <c r="K31" s="82" t="s">
        <v>122</v>
      </c>
      <c r="L31" s="82"/>
      <c r="M31" s="82"/>
      <c r="N31" s="82"/>
      <c r="O31" s="82"/>
      <c r="P31" s="82"/>
      <c r="Q31" s="82"/>
      <c r="R31" s="82"/>
      <c r="S31" s="82"/>
      <c r="T31" s="82"/>
      <c r="U31" s="82" t="s">
        <v>122</v>
      </c>
      <c r="V31" s="82" t="s">
        <v>122</v>
      </c>
      <c r="W31" s="82" t="s">
        <v>322</v>
      </c>
      <c r="X31" s="82" t="s">
        <v>334</v>
      </c>
      <c r="Y31" s="82"/>
      <c r="Z31" s="82"/>
      <c r="AA31" s="82"/>
    </row>
    <row r="32" spans="1:27" ht="30" x14ac:dyDescent="0.25">
      <c r="A32" s="48">
        <v>121</v>
      </c>
      <c r="B32" s="48" t="s">
        <v>194</v>
      </c>
      <c r="C32" s="48" t="s">
        <v>152</v>
      </c>
      <c r="D32" s="91" t="s">
        <v>43</v>
      </c>
      <c r="E32" s="80" t="s">
        <v>36</v>
      </c>
      <c r="F32" s="80" t="str">
        <f>CONCATENATE(Table42[[#This Row],[Part]]," ",Table42[[#This Row],[Status]])</f>
        <v>Section 1 - 3.3 Limitations Not Checked</v>
      </c>
      <c r="G32" s="81"/>
      <c r="H32" s="82"/>
      <c r="I32" s="82"/>
      <c r="J32" s="82"/>
      <c r="K32" s="82" t="s">
        <v>122</v>
      </c>
      <c r="L32" s="82" t="s">
        <v>122</v>
      </c>
      <c r="M32" s="82"/>
      <c r="N32" s="82"/>
      <c r="O32" s="82"/>
      <c r="P32" s="82"/>
      <c r="Q32" s="82"/>
      <c r="R32" s="82"/>
      <c r="S32" s="82"/>
      <c r="T32" s="82"/>
      <c r="U32" s="82" t="s">
        <v>122</v>
      </c>
      <c r="V32" s="82" t="s">
        <v>122</v>
      </c>
      <c r="W32" s="82" t="s">
        <v>313</v>
      </c>
      <c r="X32" s="82"/>
      <c r="Y32" s="82"/>
      <c r="Z32" s="82"/>
      <c r="AA32" s="82"/>
    </row>
    <row r="33" spans="1:27" ht="45" x14ac:dyDescent="0.25">
      <c r="A33" s="48">
        <v>121</v>
      </c>
      <c r="B33" s="48" t="s">
        <v>194</v>
      </c>
      <c r="C33" s="48" t="s">
        <v>152</v>
      </c>
      <c r="D33" s="94" t="s">
        <v>257</v>
      </c>
      <c r="E33" s="80" t="s">
        <v>36</v>
      </c>
      <c r="F33" s="80" t="str">
        <f>CONCATENATE(Table42[[#This Row],[Part]]," ",Table42[[#This Row],[Status]])</f>
        <v>Section 1 - 3.3 Limitations Not Checked</v>
      </c>
      <c r="G33" s="81"/>
      <c r="H33" s="82"/>
      <c r="I33" s="82"/>
      <c r="J33" s="82" t="s">
        <v>122</v>
      </c>
      <c r="K33" s="82" t="s">
        <v>122</v>
      </c>
      <c r="L33" s="82"/>
      <c r="M33" s="82"/>
      <c r="N33" s="82"/>
      <c r="O33" s="82"/>
      <c r="P33" s="82"/>
      <c r="Q33" s="82"/>
      <c r="R33" s="82"/>
      <c r="S33" s="82"/>
      <c r="T33" s="82"/>
      <c r="U33" s="82" t="s">
        <v>122</v>
      </c>
      <c r="V33" s="82" t="s">
        <v>122</v>
      </c>
      <c r="W33" s="82" t="s">
        <v>322</v>
      </c>
      <c r="X33" s="82" t="s">
        <v>328</v>
      </c>
      <c r="Y33" s="82" t="s">
        <v>316</v>
      </c>
      <c r="Z33" s="82"/>
      <c r="AA33" s="82"/>
    </row>
    <row r="34" spans="1:27" ht="30" hidden="1" x14ac:dyDescent="0.25">
      <c r="A34" s="48">
        <v>18</v>
      </c>
      <c r="B34" s="48" t="s">
        <v>58</v>
      </c>
      <c r="C34" s="48" t="s">
        <v>64</v>
      </c>
      <c r="D34" s="48" t="s">
        <v>269</v>
      </c>
      <c r="E34" s="80" t="s">
        <v>36</v>
      </c>
      <c r="F34" s="80" t="str">
        <f>CONCATENATE(Table42[[#This Row],[Part]]," ",Table42[[#This Row],[Status]])</f>
        <v>1.4 What the function will not do ? Not Checked</v>
      </c>
      <c r="G34" s="81" t="s">
        <v>122</v>
      </c>
      <c r="H34" s="82" t="s">
        <v>122</v>
      </c>
      <c r="I34" s="82" t="s">
        <v>122</v>
      </c>
      <c r="J34" s="82" t="s">
        <v>122</v>
      </c>
      <c r="K34" s="82" t="s">
        <v>122</v>
      </c>
      <c r="L34" s="82" t="s">
        <v>122</v>
      </c>
      <c r="M34" s="82" t="s">
        <v>122</v>
      </c>
      <c r="N34" s="82" t="s">
        <v>122</v>
      </c>
      <c r="O34" s="82" t="s">
        <v>122</v>
      </c>
      <c r="P34" s="82" t="s">
        <v>122</v>
      </c>
      <c r="Q34" s="82" t="s">
        <v>122</v>
      </c>
      <c r="R34" s="82" t="s">
        <v>122</v>
      </c>
      <c r="S34" s="82" t="s">
        <v>122</v>
      </c>
      <c r="T34" s="82" t="s">
        <v>122</v>
      </c>
      <c r="U34" s="82"/>
      <c r="V34" s="82"/>
      <c r="W34" s="82"/>
      <c r="X34" s="82"/>
      <c r="Y34" s="82"/>
      <c r="Z34" s="82"/>
      <c r="AA34" s="82"/>
    </row>
    <row r="35" spans="1:27" ht="45" x14ac:dyDescent="0.25">
      <c r="A35" s="48">
        <v>121</v>
      </c>
      <c r="B35" s="48" t="s">
        <v>194</v>
      </c>
      <c r="C35" s="48" t="s">
        <v>202</v>
      </c>
      <c r="D35" s="91" t="s">
        <v>269</v>
      </c>
      <c r="E35" s="80" t="s">
        <v>36</v>
      </c>
      <c r="F35" s="80" t="str">
        <f>CONCATENATE(Table42[[#This Row],[Part]]," ",Table42[[#This Row],[Status]])</f>
        <v>Section 1 - 4 What the function will not do Not Checked</v>
      </c>
      <c r="G35" s="81" t="s">
        <v>122</v>
      </c>
      <c r="H35" s="82" t="s">
        <v>122</v>
      </c>
      <c r="I35" s="82" t="s">
        <v>122</v>
      </c>
      <c r="J35" s="82" t="s">
        <v>122</v>
      </c>
      <c r="K35" s="82" t="s">
        <v>122</v>
      </c>
      <c r="L35" s="82" t="s">
        <v>122</v>
      </c>
      <c r="M35" s="82" t="s">
        <v>122</v>
      </c>
      <c r="N35" s="82" t="s">
        <v>122</v>
      </c>
      <c r="O35" s="82" t="s">
        <v>122</v>
      </c>
      <c r="P35" s="82" t="s">
        <v>122</v>
      </c>
      <c r="Q35" s="82" t="s">
        <v>122</v>
      </c>
      <c r="R35" s="82" t="s">
        <v>122</v>
      </c>
      <c r="S35" s="82"/>
      <c r="T35" s="82"/>
      <c r="U35" s="82" t="s">
        <v>122</v>
      </c>
      <c r="V35" s="82" t="s">
        <v>122</v>
      </c>
      <c r="W35" s="82" t="s">
        <v>313</v>
      </c>
      <c r="X35" s="82"/>
      <c r="Y35" s="82"/>
      <c r="Z35" s="82"/>
      <c r="AA35" s="82"/>
    </row>
    <row r="36" spans="1:27" x14ac:dyDescent="0.25">
      <c r="A36" s="48">
        <v>121</v>
      </c>
      <c r="B36" s="48" t="s">
        <v>194</v>
      </c>
      <c r="C36" s="48" t="s">
        <v>153</v>
      </c>
      <c r="D36" s="91" t="s">
        <v>270</v>
      </c>
      <c r="E36" s="80" t="s">
        <v>36</v>
      </c>
      <c r="F36" s="80" t="str">
        <f>CONCATENATE(Table42[[#This Row],[Part]]," ",Table42[[#This Row],[Status]])</f>
        <v>Section 1 - 5 Commercial packaging Not Checked</v>
      </c>
      <c r="G36" s="81" t="s">
        <v>122</v>
      </c>
      <c r="H36" s="82" t="s">
        <v>122</v>
      </c>
      <c r="I36" s="82" t="s">
        <v>122</v>
      </c>
      <c r="J36" s="82" t="s">
        <v>122</v>
      </c>
      <c r="K36" s="82" t="s">
        <v>122</v>
      </c>
      <c r="L36" s="82" t="s">
        <v>122</v>
      </c>
      <c r="M36" s="82" t="s">
        <v>122</v>
      </c>
      <c r="N36" s="82" t="s">
        <v>122</v>
      </c>
      <c r="O36" s="82" t="s">
        <v>122</v>
      </c>
      <c r="P36" s="82" t="s">
        <v>122</v>
      </c>
      <c r="Q36" s="82" t="s">
        <v>122</v>
      </c>
      <c r="R36" s="82" t="s">
        <v>122</v>
      </c>
      <c r="S36" s="82"/>
      <c r="T36" s="82"/>
      <c r="U36" s="82" t="s">
        <v>122</v>
      </c>
      <c r="V36" s="82" t="s">
        <v>122</v>
      </c>
      <c r="W36" s="82" t="s">
        <v>313</v>
      </c>
      <c r="X36" s="82"/>
      <c r="Y36" s="82"/>
      <c r="Z36" s="82"/>
      <c r="AA36" s="82"/>
    </row>
    <row r="37" spans="1:27" ht="45" hidden="1" x14ac:dyDescent="0.25">
      <c r="A37" s="48">
        <v>19</v>
      </c>
      <c r="B37" s="48" t="s">
        <v>58</v>
      </c>
      <c r="C37" s="48" t="s">
        <v>65</v>
      </c>
      <c r="D37" s="48" t="s">
        <v>271</v>
      </c>
      <c r="E37" s="80" t="s">
        <v>36</v>
      </c>
      <c r="F37" s="80" t="str">
        <f>CONCATENATE(Table42[[#This Row],[Part]]," ",Table42[[#This Row],[Status]])</f>
        <v>1.5 Packaging Not Checked</v>
      </c>
      <c r="G37" s="81" t="s">
        <v>122</v>
      </c>
      <c r="H37" s="82" t="s">
        <v>122</v>
      </c>
      <c r="I37" s="82" t="s">
        <v>122</v>
      </c>
      <c r="J37" s="82" t="s">
        <v>122</v>
      </c>
      <c r="K37" s="82" t="s">
        <v>122</v>
      </c>
      <c r="L37" s="82" t="s">
        <v>122</v>
      </c>
      <c r="M37" s="82" t="s">
        <v>122</v>
      </c>
      <c r="N37" s="82" t="s">
        <v>122</v>
      </c>
      <c r="O37" s="82" t="s">
        <v>122</v>
      </c>
      <c r="P37" s="82" t="s">
        <v>122</v>
      </c>
      <c r="Q37" s="82" t="s">
        <v>122</v>
      </c>
      <c r="R37" s="82" t="s">
        <v>122</v>
      </c>
      <c r="S37" s="82" t="s">
        <v>122</v>
      </c>
      <c r="T37" s="82" t="s">
        <v>122</v>
      </c>
      <c r="U37" s="82"/>
      <c r="V37" s="82"/>
      <c r="W37" s="82"/>
      <c r="X37" s="82"/>
      <c r="Y37" s="82"/>
      <c r="Z37" s="82"/>
      <c r="AA37" s="82"/>
    </row>
    <row r="38" spans="1:27" hidden="1" x14ac:dyDescent="0.25">
      <c r="A38" s="48">
        <v>21</v>
      </c>
      <c r="B38" s="48" t="s">
        <v>58</v>
      </c>
      <c r="C38" s="48" t="s">
        <v>65</v>
      </c>
      <c r="D38" s="48" t="s">
        <v>38</v>
      </c>
      <c r="E38" s="80" t="s">
        <v>36</v>
      </c>
      <c r="F38" s="80" t="str">
        <f>CONCATENATE(Table42[[#This Row],[Part]]," ",Table42[[#This Row],[Status]])</f>
        <v>1.5 Packaging Not Checked</v>
      </c>
      <c r="G38" s="81"/>
      <c r="H38" s="82"/>
      <c r="I38" s="82"/>
      <c r="J38" s="82"/>
      <c r="K38" s="82" t="s">
        <v>122</v>
      </c>
      <c r="L38" s="82" t="s">
        <v>122</v>
      </c>
      <c r="M38" s="82"/>
      <c r="N38" s="82"/>
      <c r="O38" s="82"/>
      <c r="P38" s="82"/>
      <c r="Q38" s="82" t="s">
        <v>122</v>
      </c>
      <c r="R38" s="82"/>
      <c r="S38" s="82" t="s">
        <v>122</v>
      </c>
      <c r="T38" s="82" t="s">
        <v>122</v>
      </c>
      <c r="U38" s="82"/>
      <c r="V38" s="82"/>
      <c r="W38" s="82"/>
      <c r="X38" s="82"/>
      <c r="Y38" s="82"/>
      <c r="Z38" s="82"/>
      <c r="AA38" s="82"/>
    </row>
    <row r="39" spans="1:27" ht="30" hidden="1" x14ac:dyDescent="0.25">
      <c r="A39" s="48">
        <v>41</v>
      </c>
      <c r="B39" s="48" t="s">
        <v>58</v>
      </c>
      <c r="C39" s="48" t="s">
        <v>65</v>
      </c>
      <c r="D39" s="48" t="s">
        <v>272</v>
      </c>
      <c r="E39" s="80" t="s">
        <v>36</v>
      </c>
      <c r="F39" s="80" t="str">
        <f>CONCATENATE(Table42[[#This Row],[Part]]," ",Table42[[#This Row],[Status]])</f>
        <v>1.5 Packaging Not Checked</v>
      </c>
      <c r="G39" s="81"/>
      <c r="H39" s="82"/>
      <c r="I39" s="82"/>
      <c r="J39" s="82"/>
      <c r="K39" s="82"/>
      <c r="L39" s="82" t="s">
        <v>122</v>
      </c>
      <c r="M39" s="82"/>
      <c r="N39" s="82"/>
      <c r="O39" s="82"/>
      <c r="P39" s="82"/>
      <c r="Q39" s="82"/>
      <c r="R39" s="82"/>
      <c r="S39" s="82" t="s">
        <v>122</v>
      </c>
      <c r="T39" s="82" t="s">
        <v>122</v>
      </c>
      <c r="U39" s="82"/>
      <c r="V39" s="82"/>
      <c r="W39" s="82"/>
      <c r="X39" s="82"/>
      <c r="Y39" s="82"/>
      <c r="Z39" s="82"/>
      <c r="AA39" s="82"/>
    </row>
    <row r="40" spans="1:27" ht="30" hidden="1" x14ac:dyDescent="0.25">
      <c r="A40" s="48">
        <v>22</v>
      </c>
      <c r="B40" s="48" t="s">
        <v>50</v>
      </c>
      <c r="C40" s="48" t="s">
        <v>66</v>
      </c>
      <c r="D40" s="48" t="s">
        <v>273</v>
      </c>
      <c r="E40" s="80" t="s">
        <v>36</v>
      </c>
      <c r="F40" s="80" t="str">
        <f>CONCATENATE(Table42[[#This Row],[Part]]," ",Table42[[#This Row],[Status]])</f>
        <v>2.1 External View / Behavior Not Checked</v>
      </c>
      <c r="G40" s="81" t="s">
        <v>122</v>
      </c>
      <c r="H40" s="82" t="s">
        <v>122</v>
      </c>
      <c r="I40" s="82" t="s">
        <v>122</v>
      </c>
      <c r="J40" s="82" t="s">
        <v>122</v>
      </c>
      <c r="K40" s="82" t="s">
        <v>122</v>
      </c>
      <c r="L40" s="82" t="s">
        <v>122</v>
      </c>
      <c r="M40" s="82" t="s">
        <v>122</v>
      </c>
      <c r="N40" s="82" t="s">
        <v>122</v>
      </c>
      <c r="O40" s="82" t="s">
        <v>122</v>
      </c>
      <c r="P40" s="82" t="s">
        <v>122</v>
      </c>
      <c r="Q40" s="82" t="s">
        <v>122</v>
      </c>
      <c r="R40" s="82" t="s">
        <v>122</v>
      </c>
      <c r="S40" s="82" t="s">
        <v>122</v>
      </c>
      <c r="T40" s="82" t="s">
        <v>122</v>
      </c>
      <c r="U40" s="82"/>
      <c r="V40" s="82"/>
      <c r="W40" s="82"/>
      <c r="X40" s="82"/>
      <c r="Y40" s="82"/>
      <c r="Z40" s="82"/>
      <c r="AA40" s="82"/>
    </row>
    <row r="41" spans="1:27" hidden="1" x14ac:dyDescent="0.25">
      <c r="A41" s="48">
        <v>24</v>
      </c>
      <c r="B41" s="48" t="s">
        <v>50</v>
      </c>
      <c r="C41" s="48" t="s">
        <v>66</v>
      </c>
      <c r="D41" s="48" t="s">
        <v>268</v>
      </c>
      <c r="E41" s="80" t="s">
        <v>36</v>
      </c>
      <c r="F41" s="80" t="str">
        <f>CONCATENATE(Table42[[#This Row],[Part]]," ",Table42[[#This Row],[Status]])</f>
        <v>2.1 External View / Behavior Not Checked</v>
      </c>
      <c r="G41" s="81"/>
      <c r="H41" s="82"/>
      <c r="I41" s="82"/>
      <c r="J41" s="82"/>
      <c r="K41" s="82" t="s">
        <v>122</v>
      </c>
      <c r="L41" s="82" t="s">
        <v>122</v>
      </c>
      <c r="M41" s="82"/>
      <c r="N41" s="82"/>
      <c r="O41" s="82"/>
      <c r="P41" s="82"/>
      <c r="Q41" s="82" t="s">
        <v>122</v>
      </c>
      <c r="R41" s="82"/>
      <c r="S41" s="82" t="s">
        <v>122</v>
      </c>
      <c r="T41" s="82" t="s">
        <v>122</v>
      </c>
      <c r="U41" s="82"/>
      <c r="V41" s="82"/>
      <c r="W41" s="82"/>
      <c r="X41" s="82"/>
      <c r="Y41" s="82"/>
      <c r="Z41" s="82"/>
      <c r="AA41" s="82"/>
    </row>
    <row r="42" spans="1:27" x14ac:dyDescent="0.25">
      <c r="A42" s="48">
        <v>121</v>
      </c>
      <c r="B42" s="48" t="s">
        <v>195</v>
      </c>
      <c r="C42" s="48" t="s">
        <v>154</v>
      </c>
      <c r="D42" s="91" t="s">
        <v>38</v>
      </c>
      <c r="E42" s="80" t="s">
        <v>36</v>
      </c>
      <c r="F42" s="80" t="str">
        <f>CONCATENATE(Table42[[#This Row],[Part]]," ",Table42[[#This Row],[Status]])</f>
        <v>Section 2 - 1 Packaging Not Checked</v>
      </c>
      <c r="G42" s="81"/>
      <c r="H42" s="82"/>
      <c r="I42" s="82"/>
      <c r="J42" s="82"/>
      <c r="K42" s="82" t="s">
        <v>122</v>
      </c>
      <c r="L42" s="82" t="s">
        <v>122</v>
      </c>
      <c r="M42" s="82"/>
      <c r="N42" s="82"/>
      <c r="O42" s="82"/>
      <c r="P42" s="82"/>
      <c r="Q42" s="82" t="s">
        <v>122</v>
      </c>
      <c r="R42" s="82"/>
      <c r="S42" s="82"/>
      <c r="T42" s="82"/>
      <c r="U42" s="82" t="s">
        <v>122</v>
      </c>
      <c r="V42" s="82" t="s">
        <v>122</v>
      </c>
      <c r="W42" s="82" t="s">
        <v>313</v>
      </c>
      <c r="X42" s="82"/>
      <c r="Y42" s="82"/>
      <c r="Z42" s="82"/>
      <c r="AA42" s="82"/>
    </row>
    <row r="43" spans="1:27" ht="30" x14ac:dyDescent="0.25">
      <c r="A43" s="48">
        <v>121</v>
      </c>
      <c r="B43" s="48" t="s">
        <v>195</v>
      </c>
      <c r="C43" s="48" t="s">
        <v>154</v>
      </c>
      <c r="D43" s="91" t="s">
        <v>272</v>
      </c>
      <c r="E43" s="80" t="s">
        <v>36</v>
      </c>
      <c r="F43" s="80" t="str">
        <f>CONCATENATE(Table42[[#This Row],[Part]]," ",Table42[[#This Row],[Status]])</f>
        <v>Section 2 - 1 Packaging Not Checked</v>
      </c>
      <c r="G43" s="81"/>
      <c r="H43" s="82"/>
      <c r="I43" s="82"/>
      <c r="J43" s="82"/>
      <c r="K43" s="82"/>
      <c r="L43" s="82" t="s">
        <v>122</v>
      </c>
      <c r="M43" s="82"/>
      <c r="N43" s="82"/>
      <c r="O43" s="82"/>
      <c r="P43" s="82"/>
      <c r="Q43" s="82"/>
      <c r="R43" s="82"/>
      <c r="S43" s="82"/>
      <c r="T43" s="82"/>
      <c r="U43" s="82" t="s">
        <v>122</v>
      </c>
      <c r="V43" s="82" t="s">
        <v>122</v>
      </c>
      <c r="W43" s="82" t="s">
        <v>313</v>
      </c>
      <c r="X43" s="82"/>
      <c r="Y43" s="82"/>
      <c r="Z43" s="82"/>
      <c r="AA43" s="82"/>
    </row>
    <row r="44" spans="1:27" ht="45" x14ac:dyDescent="0.25">
      <c r="A44" s="48">
        <v>121</v>
      </c>
      <c r="B44" s="48" t="s">
        <v>195</v>
      </c>
      <c r="C44" s="48" t="s">
        <v>154</v>
      </c>
      <c r="D44" s="91" t="s">
        <v>271</v>
      </c>
      <c r="E44" s="80" t="s">
        <v>36</v>
      </c>
      <c r="F44" s="80" t="str">
        <f>CONCATENATE(Table42[[#This Row],[Part]]," ",Table42[[#This Row],[Status]])</f>
        <v>Section 2 - 1 Packaging Not Checked</v>
      </c>
      <c r="G44" s="81" t="s">
        <v>122</v>
      </c>
      <c r="H44" s="82" t="s">
        <v>122</v>
      </c>
      <c r="I44" s="82" t="s">
        <v>122</v>
      </c>
      <c r="J44" s="82" t="s">
        <v>122</v>
      </c>
      <c r="K44" s="82" t="s">
        <v>122</v>
      </c>
      <c r="L44" s="82" t="s">
        <v>122</v>
      </c>
      <c r="M44" s="82" t="s">
        <v>122</v>
      </c>
      <c r="N44" s="82" t="s">
        <v>122</v>
      </c>
      <c r="O44" s="82" t="s">
        <v>122</v>
      </c>
      <c r="P44" s="82" t="s">
        <v>122</v>
      </c>
      <c r="Q44" s="82" t="s">
        <v>122</v>
      </c>
      <c r="R44" s="82" t="s">
        <v>122</v>
      </c>
      <c r="S44" s="82"/>
      <c r="T44" s="82"/>
      <c r="U44" s="82" t="s">
        <v>122</v>
      </c>
      <c r="V44" s="82" t="s">
        <v>122</v>
      </c>
      <c r="W44" s="82" t="s">
        <v>313</v>
      </c>
      <c r="X44" s="82" t="s">
        <v>324</v>
      </c>
      <c r="Y44" s="82"/>
      <c r="Z44" s="82"/>
      <c r="AA44" s="82"/>
    </row>
    <row r="45" spans="1:27" ht="30" hidden="1" x14ac:dyDescent="0.25">
      <c r="A45" s="48">
        <v>27</v>
      </c>
      <c r="B45" s="48" t="s">
        <v>50</v>
      </c>
      <c r="C45" s="48" t="s">
        <v>84</v>
      </c>
      <c r="D45" s="48" t="s">
        <v>221</v>
      </c>
      <c r="E45" s="80" t="s">
        <v>36</v>
      </c>
      <c r="F45" s="80" t="str">
        <f>CONCATENATE(Table42[[#This Row],[Part]]," ",Table42[[#This Row],[Status]])</f>
        <v>2.2.1 Data Persistency Not Checked</v>
      </c>
      <c r="G45" s="81" t="s">
        <v>122</v>
      </c>
      <c r="H45" s="82" t="s">
        <v>122</v>
      </c>
      <c r="I45" s="82" t="s">
        <v>122</v>
      </c>
      <c r="J45" s="82" t="s">
        <v>122</v>
      </c>
      <c r="K45" s="82" t="s">
        <v>122</v>
      </c>
      <c r="L45" s="82" t="s">
        <v>122</v>
      </c>
      <c r="M45" s="82" t="s">
        <v>122</v>
      </c>
      <c r="N45" s="82" t="s">
        <v>122</v>
      </c>
      <c r="O45" s="82" t="s">
        <v>122</v>
      </c>
      <c r="P45" s="82" t="s">
        <v>122</v>
      </c>
      <c r="Q45" s="82" t="s">
        <v>122</v>
      </c>
      <c r="R45" s="82" t="s">
        <v>122</v>
      </c>
      <c r="S45" s="82" t="s">
        <v>122</v>
      </c>
      <c r="T45" s="82" t="s">
        <v>122</v>
      </c>
      <c r="U45" s="82"/>
      <c r="V45" s="82"/>
      <c r="W45" s="82"/>
      <c r="X45" s="82"/>
      <c r="Y45" s="82"/>
      <c r="Z45" s="82"/>
      <c r="AA45" s="82"/>
    </row>
    <row r="46" spans="1:27" ht="30" hidden="1" x14ac:dyDescent="0.25">
      <c r="A46" s="48">
        <v>28</v>
      </c>
      <c r="B46" s="48" t="s">
        <v>50</v>
      </c>
      <c r="C46" s="48" t="s">
        <v>84</v>
      </c>
      <c r="D46" s="48" t="s">
        <v>51</v>
      </c>
      <c r="E46" s="80" t="s">
        <v>36</v>
      </c>
      <c r="F46" s="80" t="str">
        <f>CONCATENATE(Table42[[#This Row],[Part]]," ",Table42[[#This Row],[Status]])</f>
        <v>2.2.1 Data Persistency Not Checked</v>
      </c>
      <c r="G46" s="81" t="s">
        <v>122</v>
      </c>
      <c r="H46" s="82" t="s">
        <v>122</v>
      </c>
      <c r="I46" s="82" t="s">
        <v>122</v>
      </c>
      <c r="J46" s="82" t="s">
        <v>122</v>
      </c>
      <c r="K46" s="82" t="s">
        <v>122</v>
      </c>
      <c r="L46" s="82" t="s">
        <v>122</v>
      </c>
      <c r="M46" s="82" t="s">
        <v>122</v>
      </c>
      <c r="N46" s="82" t="s">
        <v>122</v>
      </c>
      <c r="O46" s="82" t="s">
        <v>122</v>
      </c>
      <c r="P46" s="82" t="s">
        <v>122</v>
      </c>
      <c r="Q46" s="82" t="s">
        <v>122</v>
      </c>
      <c r="R46" s="82" t="s">
        <v>122</v>
      </c>
      <c r="S46" s="82" t="s">
        <v>122</v>
      </c>
      <c r="T46" s="82" t="s">
        <v>122</v>
      </c>
      <c r="U46" s="82"/>
      <c r="V46" s="82"/>
      <c r="W46" s="82"/>
      <c r="X46" s="82"/>
      <c r="Y46" s="82"/>
      <c r="Z46" s="82"/>
      <c r="AA46" s="82"/>
    </row>
    <row r="47" spans="1:27" hidden="1" x14ac:dyDescent="0.25">
      <c r="A47" s="48">
        <v>29</v>
      </c>
      <c r="B47" s="48" t="s">
        <v>50</v>
      </c>
      <c r="C47" s="48" t="s">
        <v>84</v>
      </c>
      <c r="D47" s="48" t="s">
        <v>39</v>
      </c>
      <c r="E47" s="80" t="s">
        <v>36</v>
      </c>
      <c r="F47" s="80" t="str">
        <f>CONCATENATE(Table42[[#This Row],[Part]]," ",Table42[[#This Row],[Status]])</f>
        <v>2.2.1 Data Persistency Not Checked</v>
      </c>
      <c r="G47" s="81" t="s">
        <v>122</v>
      </c>
      <c r="H47" s="82" t="s">
        <v>122</v>
      </c>
      <c r="I47" s="82" t="s">
        <v>122</v>
      </c>
      <c r="J47" s="82" t="s">
        <v>122</v>
      </c>
      <c r="K47" s="82" t="s">
        <v>122</v>
      </c>
      <c r="L47" s="82" t="s">
        <v>122</v>
      </c>
      <c r="M47" s="82" t="s">
        <v>122</v>
      </c>
      <c r="N47" s="82" t="s">
        <v>122</v>
      </c>
      <c r="O47" s="82" t="s">
        <v>122</v>
      </c>
      <c r="P47" s="82" t="s">
        <v>122</v>
      </c>
      <c r="Q47" s="82" t="s">
        <v>122</v>
      </c>
      <c r="R47" s="82" t="s">
        <v>122</v>
      </c>
      <c r="S47" s="82" t="s">
        <v>122</v>
      </c>
      <c r="T47" s="82" t="s">
        <v>122</v>
      </c>
      <c r="U47" s="82"/>
      <c r="V47" s="82"/>
      <c r="W47" s="82"/>
      <c r="X47" s="82"/>
      <c r="Y47" s="82"/>
      <c r="Z47" s="82"/>
      <c r="AA47" s="82"/>
    </row>
    <row r="48" spans="1:27" hidden="1" x14ac:dyDescent="0.25">
      <c r="A48" s="48">
        <v>30</v>
      </c>
      <c r="B48" s="48" t="s">
        <v>50</v>
      </c>
      <c r="C48" s="48" t="s">
        <v>84</v>
      </c>
      <c r="D48" s="48" t="s">
        <v>40</v>
      </c>
      <c r="E48" s="80" t="s">
        <v>36</v>
      </c>
      <c r="F48" s="80" t="str">
        <f>CONCATENATE(Table42[[#This Row],[Part]]," ",Table42[[#This Row],[Status]])</f>
        <v>2.2.1 Data Persistency Not Checked</v>
      </c>
      <c r="G48" s="81" t="s">
        <v>122</v>
      </c>
      <c r="H48" s="82" t="s">
        <v>122</v>
      </c>
      <c r="I48" s="82" t="s">
        <v>122</v>
      </c>
      <c r="J48" s="82" t="s">
        <v>122</v>
      </c>
      <c r="K48" s="82" t="s">
        <v>122</v>
      </c>
      <c r="L48" s="82" t="s">
        <v>122</v>
      </c>
      <c r="M48" s="82" t="s">
        <v>122</v>
      </c>
      <c r="N48" s="82" t="s">
        <v>122</v>
      </c>
      <c r="O48" s="82" t="s">
        <v>122</v>
      </c>
      <c r="P48" s="82" t="s">
        <v>122</v>
      </c>
      <c r="Q48" s="82" t="s">
        <v>122</v>
      </c>
      <c r="R48" s="82" t="s">
        <v>122</v>
      </c>
      <c r="S48" s="82" t="s">
        <v>122</v>
      </c>
      <c r="T48" s="82" t="s">
        <v>122</v>
      </c>
      <c r="U48" s="82"/>
      <c r="V48" s="82"/>
      <c r="W48" s="82"/>
      <c r="X48" s="82"/>
      <c r="Y48" s="82"/>
      <c r="Z48" s="82"/>
      <c r="AA48" s="82"/>
    </row>
    <row r="49" spans="1:27" ht="30" hidden="1" x14ac:dyDescent="0.25">
      <c r="A49" s="48">
        <v>31</v>
      </c>
      <c r="B49" s="48" t="s">
        <v>50</v>
      </c>
      <c r="C49" s="48" t="s">
        <v>84</v>
      </c>
      <c r="D49" s="48" t="s">
        <v>52</v>
      </c>
      <c r="E49" s="80" t="s">
        <v>36</v>
      </c>
      <c r="F49" s="80" t="str">
        <f>CONCATENATE(Table42[[#This Row],[Part]]," ",Table42[[#This Row],[Status]])</f>
        <v>2.2.1 Data Persistency Not Checked</v>
      </c>
      <c r="G49" s="81"/>
      <c r="H49" s="82"/>
      <c r="I49" s="82"/>
      <c r="J49" s="82"/>
      <c r="K49" s="82" t="s">
        <v>122</v>
      </c>
      <c r="L49" s="82"/>
      <c r="M49" s="82"/>
      <c r="N49" s="82"/>
      <c r="O49" s="82"/>
      <c r="P49" s="82"/>
      <c r="Q49" s="82"/>
      <c r="R49" s="82"/>
      <c r="S49" s="82" t="s">
        <v>122</v>
      </c>
      <c r="T49" s="82" t="s">
        <v>122</v>
      </c>
      <c r="U49" s="82"/>
      <c r="V49" s="82"/>
      <c r="W49" s="82"/>
      <c r="X49" s="82"/>
      <c r="Y49" s="82"/>
      <c r="Z49" s="82"/>
      <c r="AA49" s="82"/>
    </row>
    <row r="50" spans="1:27" ht="45" x14ac:dyDescent="0.25">
      <c r="A50" s="48">
        <v>121</v>
      </c>
      <c r="B50" s="48" t="s">
        <v>195</v>
      </c>
      <c r="C50" s="48" t="s">
        <v>155</v>
      </c>
      <c r="D50" s="91" t="s">
        <v>212</v>
      </c>
      <c r="E50" s="80" t="s">
        <v>36</v>
      </c>
      <c r="F50" s="80" t="str">
        <f>CONCATENATE(Table42[[#This Row],[Part]]," ",Table42[[#This Row],[Status]])</f>
        <v>Section 2 - 2.1 User interface Not Checked</v>
      </c>
      <c r="G50" s="81" t="s">
        <v>122</v>
      </c>
      <c r="H50" s="82" t="s">
        <v>122</v>
      </c>
      <c r="I50" s="82" t="s">
        <v>122</v>
      </c>
      <c r="J50" s="82" t="s">
        <v>122</v>
      </c>
      <c r="K50" s="82" t="s">
        <v>122</v>
      </c>
      <c r="L50" s="82" t="s">
        <v>122</v>
      </c>
      <c r="M50" s="82" t="s">
        <v>122</v>
      </c>
      <c r="N50" s="82" t="s">
        <v>122</v>
      </c>
      <c r="O50" s="82" t="s">
        <v>122</v>
      </c>
      <c r="P50" s="82" t="s">
        <v>122</v>
      </c>
      <c r="Q50" s="82" t="s">
        <v>122</v>
      </c>
      <c r="R50" s="82" t="s">
        <v>122</v>
      </c>
      <c r="S50" s="82"/>
      <c r="T50" s="82"/>
      <c r="U50" s="82" t="s">
        <v>122</v>
      </c>
      <c r="V50" s="82" t="s">
        <v>122</v>
      </c>
      <c r="W50" s="82" t="s">
        <v>313</v>
      </c>
      <c r="X50" s="82"/>
      <c r="Y50" s="82"/>
      <c r="Z50" s="82"/>
      <c r="AA50" s="82"/>
    </row>
    <row r="51" spans="1:27" ht="30" x14ac:dyDescent="0.25">
      <c r="A51" s="48">
        <v>121</v>
      </c>
      <c r="B51" s="48" t="s">
        <v>195</v>
      </c>
      <c r="C51" s="48" t="s">
        <v>155</v>
      </c>
      <c r="D51" s="91" t="s">
        <v>211</v>
      </c>
      <c r="E51" s="80" t="s">
        <v>36</v>
      </c>
      <c r="F51" s="80" t="str">
        <f>CONCATENATE(Table42[[#This Row],[Part]]," ",Table42[[#This Row],[Status]])</f>
        <v>Section 2 - 2.1 User interface Not Checked</v>
      </c>
      <c r="G51" s="81"/>
      <c r="H51" s="82"/>
      <c r="I51" s="82"/>
      <c r="J51" s="82"/>
      <c r="K51" s="82"/>
      <c r="L51" s="82" t="s">
        <v>122</v>
      </c>
      <c r="M51" s="82"/>
      <c r="N51" s="82"/>
      <c r="O51" s="82"/>
      <c r="P51" s="82" t="s">
        <v>122</v>
      </c>
      <c r="Q51" s="82"/>
      <c r="R51" s="82"/>
      <c r="S51" s="82"/>
      <c r="T51" s="82"/>
      <c r="U51" s="82" t="s">
        <v>122</v>
      </c>
      <c r="V51" s="82" t="s">
        <v>122</v>
      </c>
      <c r="W51" s="82" t="s">
        <v>313</v>
      </c>
      <c r="X51" s="82"/>
      <c r="Y51" s="82"/>
      <c r="Z51" s="82"/>
      <c r="AA51" s="82"/>
    </row>
    <row r="52" spans="1:27" ht="30" x14ac:dyDescent="0.25">
      <c r="A52" s="48">
        <v>121</v>
      </c>
      <c r="B52" s="48" t="s">
        <v>195</v>
      </c>
      <c r="C52" s="48" t="s">
        <v>155</v>
      </c>
      <c r="D52" s="91" t="s">
        <v>274</v>
      </c>
      <c r="E52" s="80" t="s">
        <v>36</v>
      </c>
      <c r="F52" s="80" t="str">
        <f>CONCATENATE(Table42[[#This Row],[Part]]," ",Table42[[#This Row],[Status]])</f>
        <v>Section 2 - 2.1 User interface Not Checked</v>
      </c>
      <c r="G52" s="81" t="s">
        <v>122</v>
      </c>
      <c r="H52" s="82"/>
      <c r="I52" s="82" t="s">
        <v>122</v>
      </c>
      <c r="J52" s="82" t="s">
        <v>122</v>
      </c>
      <c r="K52" s="82" t="s">
        <v>122</v>
      </c>
      <c r="L52" s="82" t="s">
        <v>122</v>
      </c>
      <c r="M52" s="82" t="s">
        <v>122</v>
      </c>
      <c r="N52" s="82" t="s">
        <v>122</v>
      </c>
      <c r="O52" s="82" t="s">
        <v>122</v>
      </c>
      <c r="P52" s="82" t="s">
        <v>122</v>
      </c>
      <c r="Q52" s="82" t="s">
        <v>122</v>
      </c>
      <c r="R52" s="82" t="s">
        <v>122</v>
      </c>
      <c r="S52" s="82"/>
      <c r="T52" s="82"/>
      <c r="U52" s="82" t="s">
        <v>122</v>
      </c>
      <c r="V52" s="82" t="s">
        <v>122</v>
      </c>
      <c r="W52" s="82" t="s">
        <v>313</v>
      </c>
      <c r="X52" s="82"/>
      <c r="Y52" s="82"/>
      <c r="Z52" s="82"/>
      <c r="AA52" s="82"/>
    </row>
    <row r="53" spans="1:27" ht="45" x14ac:dyDescent="0.25">
      <c r="A53" s="48">
        <v>121</v>
      </c>
      <c r="B53" s="48" t="s">
        <v>195</v>
      </c>
      <c r="C53" s="48" t="s">
        <v>155</v>
      </c>
      <c r="D53" s="91" t="s">
        <v>213</v>
      </c>
      <c r="E53" s="80" t="s">
        <v>36</v>
      </c>
      <c r="F53" s="80" t="str">
        <f>CONCATENATE(Table42[[#This Row],[Part]]," ",Table42[[#This Row],[Status]])</f>
        <v>Section 2 - 2.1 User interface Not Checked</v>
      </c>
      <c r="G53" s="81" t="s">
        <v>122</v>
      </c>
      <c r="H53" s="82" t="s">
        <v>122</v>
      </c>
      <c r="I53" s="82" t="s">
        <v>122</v>
      </c>
      <c r="J53" s="82" t="s">
        <v>122</v>
      </c>
      <c r="K53" s="82" t="s">
        <v>122</v>
      </c>
      <c r="L53" s="82" t="s">
        <v>122</v>
      </c>
      <c r="M53" s="82" t="s">
        <v>122</v>
      </c>
      <c r="N53" s="82" t="s">
        <v>122</v>
      </c>
      <c r="O53" s="82" t="s">
        <v>122</v>
      </c>
      <c r="P53" s="82" t="s">
        <v>122</v>
      </c>
      <c r="Q53" s="82" t="s">
        <v>122</v>
      </c>
      <c r="R53" s="82" t="s">
        <v>122</v>
      </c>
      <c r="S53" s="82"/>
      <c r="T53" s="82"/>
      <c r="U53" s="82" t="s">
        <v>122</v>
      </c>
      <c r="V53" s="82" t="s">
        <v>122</v>
      </c>
      <c r="W53" s="82" t="s">
        <v>313</v>
      </c>
      <c r="X53" s="82"/>
      <c r="Y53" s="82"/>
      <c r="Z53" s="82"/>
      <c r="AA53" s="82"/>
    </row>
    <row r="54" spans="1:27" ht="45" x14ac:dyDescent="0.25">
      <c r="A54" s="48">
        <v>121</v>
      </c>
      <c r="B54" s="48" t="s">
        <v>195</v>
      </c>
      <c r="C54" s="48" t="s">
        <v>155</v>
      </c>
      <c r="D54" s="94" t="s">
        <v>214</v>
      </c>
      <c r="E54" s="80" t="s">
        <v>36</v>
      </c>
      <c r="F54" s="80" t="str">
        <f>CONCATENATE(Table42[[#This Row],[Part]]," ",Table42[[#This Row],[Status]])</f>
        <v>Section 2 - 2.1 User interface Not Checked</v>
      </c>
      <c r="G54" s="81"/>
      <c r="H54" s="82"/>
      <c r="I54" s="82"/>
      <c r="J54" s="82"/>
      <c r="K54" s="82"/>
      <c r="L54" s="82" t="s">
        <v>122</v>
      </c>
      <c r="M54" s="82"/>
      <c r="N54" s="82"/>
      <c r="O54" s="82"/>
      <c r="P54" s="82" t="s">
        <v>122</v>
      </c>
      <c r="Q54" s="82" t="s">
        <v>122</v>
      </c>
      <c r="R54" s="82"/>
      <c r="S54" s="82"/>
      <c r="T54" s="82"/>
      <c r="U54" s="82" t="s">
        <v>122</v>
      </c>
      <c r="V54" s="82" t="s">
        <v>122</v>
      </c>
      <c r="W54" s="82" t="s">
        <v>322</v>
      </c>
      <c r="X54" s="82" t="s">
        <v>333</v>
      </c>
      <c r="Y54" s="82" t="s">
        <v>317</v>
      </c>
      <c r="Z54" s="82"/>
      <c r="AA54" s="82"/>
    </row>
    <row r="55" spans="1:27" ht="45" x14ac:dyDescent="0.25">
      <c r="A55" s="48">
        <v>121</v>
      </c>
      <c r="B55" s="48" t="s">
        <v>195</v>
      </c>
      <c r="C55" s="48" t="s">
        <v>155</v>
      </c>
      <c r="D55" s="94" t="s">
        <v>140</v>
      </c>
      <c r="E55" s="80" t="s">
        <v>36</v>
      </c>
      <c r="F55" s="80" t="str">
        <f>CONCATENATE(Table42[[#This Row],[Part]]," ",Table42[[#This Row],[Status]])</f>
        <v>Section 2 - 2.1 User interface Not Checked</v>
      </c>
      <c r="G55" s="81"/>
      <c r="H55" s="82"/>
      <c r="I55" s="82"/>
      <c r="J55" s="82"/>
      <c r="K55" s="82"/>
      <c r="L55" s="82" t="s">
        <v>122</v>
      </c>
      <c r="M55" s="82"/>
      <c r="N55" s="82"/>
      <c r="O55" s="82"/>
      <c r="P55" s="82" t="s">
        <v>122</v>
      </c>
      <c r="Q55" s="82" t="s">
        <v>122</v>
      </c>
      <c r="R55" s="82"/>
      <c r="S55" s="82"/>
      <c r="T55" s="82"/>
      <c r="U55" s="82" t="s">
        <v>122</v>
      </c>
      <c r="V55" s="82" t="s">
        <v>122</v>
      </c>
      <c r="W55" s="82" t="s">
        <v>322</v>
      </c>
      <c r="X55" s="82" t="s">
        <v>342</v>
      </c>
      <c r="Y55" s="82" t="s">
        <v>318</v>
      </c>
      <c r="Z55" s="82"/>
      <c r="AA55" s="82"/>
    </row>
    <row r="56" spans="1:27" ht="45" x14ac:dyDescent="0.25">
      <c r="A56" s="48">
        <v>121</v>
      </c>
      <c r="B56" s="48" t="s">
        <v>195</v>
      </c>
      <c r="C56" s="48" t="s">
        <v>155</v>
      </c>
      <c r="D56" s="91" t="s">
        <v>215</v>
      </c>
      <c r="E56" s="80" t="s">
        <v>36</v>
      </c>
      <c r="F56" s="80" t="str">
        <f>CONCATENATE(Table42[[#This Row],[Part]]," ",Table42[[#This Row],[Status]])</f>
        <v>Section 2 - 2.1 User interface Not Checked</v>
      </c>
      <c r="G56" s="81"/>
      <c r="H56" s="82"/>
      <c r="I56" s="82"/>
      <c r="J56" s="82"/>
      <c r="K56" s="82"/>
      <c r="L56" s="82" t="s">
        <v>122</v>
      </c>
      <c r="M56" s="82"/>
      <c r="N56" s="82"/>
      <c r="O56" s="82"/>
      <c r="P56" s="82" t="s">
        <v>122</v>
      </c>
      <c r="Q56" s="82"/>
      <c r="R56" s="82"/>
      <c r="S56" s="82"/>
      <c r="T56" s="82"/>
      <c r="U56" s="82" t="s">
        <v>122</v>
      </c>
      <c r="V56" s="82" t="s">
        <v>122</v>
      </c>
      <c r="W56" s="82" t="s">
        <v>313</v>
      </c>
      <c r="X56" s="82"/>
      <c r="Y56" s="82"/>
      <c r="Z56" s="82"/>
      <c r="AA56" s="82"/>
    </row>
    <row r="57" spans="1:27" ht="30" x14ac:dyDescent="0.25">
      <c r="A57" s="48">
        <v>121</v>
      </c>
      <c r="B57" s="48" t="s">
        <v>195</v>
      </c>
      <c r="C57" s="48" t="s">
        <v>155</v>
      </c>
      <c r="D57" s="91" t="s">
        <v>216</v>
      </c>
      <c r="E57" s="80" t="s">
        <v>36</v>
      </c>
      <c r="F57" s="80" t="str">
        <f>CONCATENATE(Table42[[#This Row],[Part]]," ",Table42[[#This Row],[Status]])</f>
        <v>Section 2 - 2.1 User interface Not Checked</v>
      </c>
      <c r="G57" s="81"/>
      <c r="H57" s="82"/>
      <c r="I57" s="82"/>
      <c r="J57" s="82"/>
      <c r="K57" s="82"/>
      <c r="L57" s="82" t="s">
        <v>122</v>
      </c>
      <c r="M57" s="82"/>
      <c r="N57" s="82"/>
      <c r="O57" s="82"/>
      <c r="P57" s="82" t="s">
        <v>122</v>
      </c>
      <c r="Q57" s="82"/>
      <c r="R57" s="82"/>
      <c r="S57" s="82"/>
      <c r="T57" s="82"/>
      <c r="U57" s="82" t="s">
        <v>122</v>
      </c>
      <c r="V57" s="82" t="s">
        <v>122</v>
      </c>
      <c r="W57" s="82" t="s">
        <v>313</v>
      </c>
      <c r="X57" s="82"/>
      <c r="Y57" s="82"/>
      <c r="Z57" s="82"/>
      <c r="AA57" s="82"/>
    </row>
    <row r="58" spans="1:27" ht="30" hidden="1" x14ac:dyDescent="0.25">
      <c r="A58" s="48">
        <v>26</v>
      </c>
      <c r="B58" s="48" t="s">
        <v>50</v>
      </c>
      <c r="C58" s="48" t="s">
        <v>85</v>
      </c>
      <c r="D58" s="48" t="s">
        <v>220</v>
      </c>
      <c r="E58" s="80" t="s">
        <v>36</v>
      </c>
      <c r="F58" s="80" t="str">
        <f>CONCATENATE(Table42[[#This Row],[Part]]," ",Table42[[#This Row],[Status]])</f>
        <v>2.2.2 Supported Input Data Types Not Checked</v>
      </c>
      <c r="G58" s="81" t="s">
        <v>122</v>
      </c>
      <c r="H58" s="82" t="s">
        <v>122</v>
      </c>
      <c r="I58" s="82" t="s">
        <v>122</v>
      </c>
      <c r="J58" s="82" t="s">
        <v>122</v>
      </c>
      <c r="K58" s="82" t="s">
        <v>122</v>
      </c>
      <c r="L58" s="82" t="s">
        <v>122</v>
      </c>
      <c r="M58" s="82" t="s">
        <v>122</v>
      </c>
      <c r="N58" s="82" t="s">
        <v>122</v>
      </c>
      <c r="O58" s="82" t="s">
        <v>122</v>
      </c>
      <c r="P58" s="82" t="s">
        <v>122</v>
      </c>
      <c r="Q58" s="82" t="s">
        <v>122</v>
      </c>
      <c r="R58" s="82" t="s">
        <v>122</v>
      </c>
      <c r="S58" s="82" t="s">
        <v>122</v>
      </c>
      <c r="T58" s="82" t="s">
        <v>122</v>
      </c>
      <c r="U58" s="82"/>
      <c r="V58" s="82"/>
      <c r="W58" s="82"/>
      <c r="X58" s="82"/>
      <c r="Y58" s="82"/>
      <c r="Z58" s="82"/>
      <c r="AA58" s="82"/>
    </row>
    <row r="59" spans="1:27" ht="30" x14ac:dyDescent="0.25">
      <c r="A59" s="48" t="s">
        <v>312</v>
      </c>
      <c r="B59" s="48" t="s">
        <v>195</v>
      </c>
      <c r="C59" s="48" t="s">
        <v>156</v>
      </c>
      <c r="D59" s="91" t="s">
        <v>217</v>
      </c>
      <c r="E59" s="80" t="s">
        <v>36</v>
      </c>
      <c r="F59" s="80" t="str">
        <f>CONCATENATE(Table42[[#This Row],[Part]]," ",Table42[[#This Row],[Status]])</f>
        <v>Section 2 - 2.2 User assistance Not Checked</v>
      </c>
      <c r="G59" s="81" t="s">
        <v>122</v>
      </c>
      <c r="H59" s="82" t="s">
        <v>122</v>
      </c>
      <c r="I59" s="82" t="s">
        <v>122</v>
      </c>
      <c r="J59" s="82" t="s">
        <v>122</v>
      </c>
      <c r="K59" s="82" t="s">
        <v>122</v>
      </c>
      <c r="L59" s="82" t="s">
        <v>122</v>
      </c>
      <c r="M59" s="82" t="s">
        <v>122</v>
      </c>
      <c r="N59" s="82" t="s">
        <v>122</v>
      </c>
      <c r="O59" s="82" t="s">
        <v>122</v>
      </c>
      <c r="P59" s="82" t="s">
        <v>122</v>
      </c>
      <c r="Q59" s="82" t="s">
        <v>122</v>
      </c>
      <c r="R59" s="82" t="s">
        <v>122</v>
      </c>
      <c r="S59" s="82"/>
      <c r="T59" s="82"/>
      <c r="U59" s="82" t="s">
        <v>122</v>
      </c>
      <c r="V59" s="82" t="s">
        <v>122</v>
      </c>
      <c r="W59" s="82" t="s">
        <v>313</v>
      </c>
      <c r="X59" s="82"/>
      <c r="Y59" s="82"/>
      <c r="Z59" s="82"/>
      <c r="AA59" s="82"/>
    </row>
    <row r="60" spans="1:27" ht="30" x14ac:dyDescent="0.25">
      <c r="A60" s="48">
        <v>121</v>
      </c>
      <c r="B60" s="48" t="s">
        <v>195</v>
      </c>
      <c r="C60" s="48" t="s">
        <v>156</v>
      </c>
      <c r="D60" s="91" t="s">
        <v>218</v>
      </c>
      <c r="E60" s="80" t="s">
        <v>36</v>
      </c>
      <c r="F60" s="80" t="str">
        <f>CONCATENATE(Table42[[#This Row],[Part]]," ",Table42[[#This Row],[Status]])</f>
        <v>Section 2 - 2.2 User assistance Not Checked</v>
      </c>
      <c r="G60" s="81" t="s">
        <v>122</v>
      </c>
      <c r="H60" s="82" t="s">
        <v>122</v>
      </c>
      <c r="I60" s="82" t="s">
        <v>122</v>
      </c>
      <c r="J60" s="82" t="s">
        <v>122</v>
      </c>
      <c r="K60" s="82" t="s">
        <v>122</v>
      </c>
      <c r="L60" s="82" t="s">
        <v>122</v>
      </c>
      <c r="M60" s="82" t="s">
        <v>122</v>
      </c>
      <c r="N60" s="82" t="s">
        <v>122</v>
      </c>
      <c r="O60" s="82" t="s">
        <v>122</v>
      </c>
      <c r="P60" s="82" t="s">
        <v>122</v>
      </c>
      <c r="Q60" s="82" t="s">
        <v>122</v>
      </c>
      <c r="R60" s="82" t="s">
        <v>122</v>
      </c>
      <c r="S60" s="82"/>
      <c r="T60" s="82"/>
      <c r="U60" s="82" t="s">
        <v>122</v>
      </c>
      <c r="V60" s="82" t="s">
        <v>122</v>
      </c>
      <c r="W60" s="82" t="s">
        <v>313</v>
      </c>
      <c r="X60" s="82"/>
      <c r="Y60" s="82"/>
      <c r="Z60" s="82"/>
      <c r="AA60" s="82"/>
    </row>
    <row r="61" spans="1:27" ht="30" hidden="1" x14ac:dyDescent="0.25">
      <c r="A61" s="48">
        <v>25</v>
      </c>
      <c r="B61" s="48" t="s">
        <v>50</v>
      </c>
      <c r="C61" s="48" t="s">
        <v>94</v>
      </c>
      <c r="D61" s="48" t="s">
        <v>245</v>
      </c>
      <c r="E61" s="80" t="s">
        <v>36</v>
      </c>
      <c r="F61" s="80" t="str">
        <f>CONCATENATE(Table42[[#This Row],[Part]]," ",Table42[[#This Row],[Status]])</f>
        <v>2.2.3 Expected Behavior on Each Input Data Type Not Checked</v>
      </c>
      <c r="G61" s="81"/>
      <c r="H61" s="82"/>
      <c r="I61" s="82"/>
      <c r="J61" s="82"/>
      <c r="K61" s="82"/>
      <c r="L61" s="82" t="s">
        <v>122</v>
      </c>
      <c r="M61" s="82"/>
      <c r="N61" s="82"/>
      <c r="O61" s="82"/>
      <c r="P61" s="82"/>
      <c r="Q61" s="82"/>
      <c r="R61" s="82"/>
      <c r="S61" s="82" t="s">
        <v>122</v>
      </c>
      <c r="T61" s="82" t="s">
        <v>122</v>
      </c>
      <c r="U61" s="82"/>
      <c r="V61" s="82"/>
      <c r="W61" s="82"/>
      <c r="X61" s="82"/>
      <c r="Y61" s="82"/>
      <c r="Z61" s="82"/>
      <c r="AA61" s="82"/>
    </row>
    <row r="62" spans="1:27" ht="45" hidden="1" x14ac:dyDescent="0.25">
      <c r="A62" s="48">
        <v>32</v>
      </c>
      <c r="B62" s="48" t="s">
        <v>50</v>
      </c>
      <c r="C62" s="48" t="s">
        <v>67</v>
      </c>
      <c r="D62" s="48" t="s">
        <v>212</v>
      </c>
      <c r="E62" s="80" t="s">
        <v>36</v>
      </c>
      <c r="F62" s="80" t="str">
        <f>CONCATENATE(Table42[[#This Row],[Part]]," ",Table42[[#This Row],[Status]])</f>
        <v>2.3 User Experience and Interactions Not Checked</v>
      </c>
      <c r="G62" s="81" t="s">
        <v>122</v>
      </c>
      <c r="H62" s="82" t="s">
        <v>122</v>
      </c>
      <c r="I62" s="82" t="s">
        <v>122</v>
      </c>
      <c r="J62" s="82" t="s">
        <v>122</v>
      </c>
      <c r="K62" s="82" t="s">
        <v>122</v>
      </c>
      <c r="L62" s="82" t="s">
        <v>122</v>
      </c>
      <c r="M62" s="82" t="s">
        <v>122</v>
      </c>
      <c r="N62" s="82" t="s">
        <v>122</v>
      </c>
      <c r="O62" s="82" t="s">
        <v>122</v>
      </c>
      <c r="P62" s="82" t="s">
        <v>122</v>
      </c>
      <c r="Q62" s="82" t="s">
        <v>122</v>
      </c>
      <c r="R62" s="82" t="s">
        <v>122</v>
      </c>
      <c r="S62" s="82" t="s">
        <v>122</v>
      </c>
      <c r="T62" s="82" t="s">
        <v>122</v>
      </c>
      <c r="U62" s="82"/>
      <c r="V62" s="82"/>
      <c r="W62" s="82"/>
      <c r="X62" s="82"/>
      <c r="Y62" s="82"/>
      <c r="Z62" s="82"/>
      <c r="AA62" s="82"/>
    </row>
    <row r="63" spans="1:27" ht="30" hidden="1" x14ac:dyDescent="0.25">
      <c r="A63" s="48">
        <v>33</v>
      </c>
      <c r="B63" s="48" t="s">
        <v>50</v>
      </c>
      <c r="C63" s="48" t="s">
        <v>67</v>
      </c>
      <c r="D63" s="48" t="s">
        <v>275</v>
      </c>
      <c r="E63" s="80" t="s">
        <v>36</v>
      </c>
      <c r="F63" s="80" t="str">
        <f>CONCATENATE(Table42[[#This Row],[Part]]," ",Table42[[#This Row],[Status]])</f>
        <v>2.3 User Experience and Interactions Not Checked</v>
      </c>
      <c r="G63" s="81"/>
      <c r="H63" s="82"/>
      <c r="I63" s="82"/>
      <c r="J63" s="82"/>
      <c r="K63" s="82"/>
      <c r="L63" s="82" t="s">
        <v>122</v>
      </c>
      <c r="M63" s="82"/>
      <c r="N63" s="82"/>
      <c r="O63" s="82"/>
      <c r="P63" s="82" t="s">
        <v>122</v>
      </c>
      <c r="Q63" s="82"/>
      <c r="R63" s="82"/>
      <c r="S63" s="82" t="s">
        <v>122</v>
      </c>
      <c r="T63" s="82" t="s">
        <v>122</v>
      </c>
      <c r="U63" s="82"/>
      <c r="V63" s="82"/>
      <c r="W63" s="82"/>
      <c r="X63" s="82"/>
      <c r="Y63" s="82"/>
      <c r="Z63" s="82"/>
      <c r="AA63" s="82"/>
    </row>
    <row r="64" spans="1:27" ht="30" hidden="1" x14ac:dyDescent="0.25">
      <c r="A64" s="48">
        <v>34</v>
      </c>
      <c r="B64" s="48" t="s">
        <v>50</v>
      </c>
      <c r="C64" s="48" t="s">
        <v>67</v>
      </c>
      <c r="D64" s="48" t="s">
        <v>274</v>
      </c>
      <c r="E64" s="80" t="s">
        <v>36</v>
      </c>
      <c r="F64" s="80" t="str">
        <f>CONCATENATE(Table42[[#This Row],[Part]]," ",Table42[[#This Row],[Status]])</f>
        <v>2.3 User Experience and Interactions Not Checked</v>
      </c>
      <c r="G64" s="81" t="s">
        <v>122</v>
      </c>
      <c r="H64" s="82"/>
      <c r="I64" s="82" t="s">
        <v>122</v>
      </c>
      <c r="J64" s="82" t="s">
        <v>122</v>
      </c>
      <c r="K64" s="82" t="s">
        <v>122</v>
      </c>
      <c r="L64" s="82" t="s">
        <v>122</v>
      </c>
      <c r="M64" s="82" t="s">
        <v>122</v>
      </c>
      <c r="N64" s="82" t="s">
        <v>122</v>
      </c>
      <c r="O64" s="82" t="s">
        <v>122</v>
      </c>
      <c r="P64" s="82" t="s">
        <v>122</v>
      </c>
      <c r="Q64" s="82" t="s">
        <v>122</v>
      </c>
      <c r="R64" s="82" t="s">
        <v>122</v>
      </c>
      <c r="S64" s="82" t="s">
        <v>122</v>
      </c>
      <c r="T64" s="82" t="s">
        <v>122</v>
      </c>
      <c r="U64" s="82"/>
      <c r="V64" s="82"/>
      <c r="W64" s="82"/>
      <c r="X64" s="82"/>
      <c r="Y64" s="82"/>
      <c r="Z64" s="82"/>
      <c r="AA64" s="82"/>
    </row>
    <row r="65" spans="1:27" ht="45" hidden="1" x14ac:dyDescent="0.25">
      <c r="A65" s="48">
        <v>37</v>
      </c>
      <c r="B65" s="48" t="s">
        <v>50</v>
      </c>
      <c r="C65" s="48" t="s">
        <v>67</v>
      </c>
      <c r="D65" s="48" t="s">
        <v>213</v>
      </c>
      <c r="E65" s="80" t="s">
        <v>36</v>
      </c>
      <c r="F65" s="80" t="str">
        <f>CONCATENATE(Table42[[#This Row],[Part]]," ",Table42[[#This Row],[Status]])</f>
        <v>2.3 User Experience and Interactions Not Checked</v>
      </c>
      <c r="G65" s="81" t="s">
        <v>122</v>
      </c>
      <c r="H65" s="82" t="s">
        <v>122</v>
      </c>
      <c r="I65" s="82" t="s">
        <v>122</v>
      </c>
      <c r="J65" s="82" t="s">
        <v>122</v>
      </c>
      <c r="K65" s="82" t="s">
        <v>122</v>
      </c>
      <c r="L65" s="82" t="s">
        <v>122</v>
      </c>
      <c r="M65" s="82" t="s">
        <v>122</v>
      </c>
      <c r="N65" s="82" t="s">
        <v>122</v>
      </c>
      <c r="O65" s="82" t="s">
        <v>122</v>
      </c>
      <c r="P65" s="82" t="s">
        <v>122</v>
      </c>
      <c r="Q65" s="82" t="s">
        <v>122</v>
      </c>
      <c r="R65" s="82" t="s">
        <v>122</v>
      </c>
      <c r="S65" s="82" t="s">
        <v>122</v>
      </c>
      <c r="T65" s="82" t="s">
        <v>122</v>
      </c>
      <c r="U65" s="82"/>
      <c r="V65" s="82"/>
      <c r="W65" s="82"/>
      <c r="X65" s="82"/>
      <c r="Y65" s="82"/>
      <c r="Z65" s="82"/>
      <c r="AA65" s="82"/>
    </row>
    <row r="66" spans="1:27" hidden="1" x14ac:dyDescent="0.25">
      <c r="A66" s="48">
        <v>42</v>
      </c>
      <c r="B66" s="48" t="s">
        <v>50</v>
      </c>
      <c r="C66" s="48" t="s">
        <v>67</v>
      </c>
      <c r="D66" s="48" t="s">
        <v>214</v>
      </c>
      <c r="E66" s="80" t="s">
        <v>36</v>
      </c>
      <c r="F66" s="80" t="str">
        <f>CONCATENATE(Table42[[#This Row],[Part]]," ",Table42[[#This Row],[Status]])</f>
        <v>2.3 User Experience and Interactions Not Checked</v>
      </c>
      <c r="G66" s="81"/>
      <c r="H66" s="82"/>
      <c r="I66" s="82"/>
      <c r="J66" s="82"/>
      <c r="K66" s="82"/>
      <c r="L66" s="82" t="s">
        <v>122</v>
      </c>
      <c r="M66" s="82"/>
      <c r="N66" s="82"/>
      <c r="O66" s="82"/>
      <c r="P66" s="82" t="s">
        <v>122</v>
      </c>
      <c r="Q66" s="82" t="s">
        <v>122</v>
      </c>
      <c r="R66" s="82"/>
      <c r="S66" s="82" t="s">
        <v>122</v>
      </c>
      <c r="T66" s="82" t="s">
        <v>122</v>
      </c>
      <c r="U66" s="82"/>
      <c r="V66" s="82"/>
      <c r="W66" s="82"/>
      <c r="X66" s="82"/>
      <c r="Y66" s="82"/>
      <c r="Z66" s="82"/>
      <c r="AA66" s="82"/>
    </row>
    <row r="67" spans="1:27" ht="30" hidden="1" x14ac:dyDescent="0.25">
      <c r="A67" s="48">
        <v>43</v>
      </c>
      <c r="B67" s="48" t="s">
        <v>50</v>
      </c>
      <c r="C67" s="48" t="s">
        <v>67</v>
      </c>
      <c r="D67" s="48" t="s">
        <v>276</v>
      </c>
      <c r="E67" s="80" t="s">
        <v>36</v>
      </c>
      <c r="F67" s="80" t="str">
        <f>CONCATENATE(Table42[[#This Row],[Part]]," ",Table42[[#This Row],[Status]])</f>
        <v>2.3 User Experience and Interactions Not Checked</v>
      </c>
      <c r="G67" s="81"/>
      <c r="H67" s="82"/>
      <c r="I67" s="82"/>
      <c r="J67" s="82"/>
      <c r="K67" s="82"/>
      <c r="L67" s="82" t="s">
        <v>122</v>
      </c>
      <c r="M67" s="82"/>
      <c r="N67" s="82"/>
      <c r="O67" s="82"/>
      <c r="P67" s="82" t="s">
        <v>122</v>
      </c>
      <c r="Q67" s="82" t="s">
        <v>122</v>
      </c>
      <c r="R67" s="82"/>
      <c r="S67" s="82" t="s">
        <v>122</v>
      </c>
      <c r="T67" s="82" t="s">
        <v>122</v>
      </c>
      <c r="U67" s="82"/>
      <c r="V67" s="82"/>
      <c r="W67" s="82"/>
      <c r="X67" s="82"/>
      <c r="Y67" s="82"/>
      <c r="Z67" s="82"/>
      <c r="AA67" s="82"/>
    </row>
    <row r="68" spans="1:27" ht="45" hidden="1" x14ac:dyDescent="0.25">
      <c r="A68" s="48">
        <v>44</v>
      </c>
      <c r="B68" s="48" t="s">
        <v>50</v>
      </c>
      <c r="C68" s="48" t="s">
        <v>67</v>
      </c>
      <c r="D68" s="48" t="s">
        <v>215</v>
      </c>
      <c r="E68" s="80" t="s">
        <v>36</v>
      </c>
      <c r="F68" s="80" t="str">
        <f>CONCATENATE(Table42[[#This Row],[Part]]," ",Table42[[#This Row],[Status]])</f>
        <v>2.3 User Experience and Interactions Not Checked</v>
      </c>
      <c r="G68" s="81"/>
      <c r="H68" s="82"/>
      <c r="I68" s="82"/>
      <c r="J68" s="82"/>
      <c r="K68" s="82"/>
      <c r="L68" s="82" t="s">
        <v>122</v>
      </c>
      <c r="M68" s="82"/>
      <c r="N68" s="82"/>
      <c r="O68" s="82"/>
      <c r="P68" s="82" t="s">
        <v>122</v>
      </c>
      <c r="Q68" s="82"/>
      <c r="R68" s="82"/>
      <c r="S68" s="82" t="s">
        <v>122</v>
      </c>
      <c r="T68" s="82" t="s">
        <v>122</v>
      </c>
      <c r="U68" s="82"/>
      <c r="V68" s="82"/>
      <c r="W68" s="82"/>
      <c r="X68" s="82"/>
      <c r="Y68" s="82"/>
      <c r="Z68" s="82"/>
      <c r="AA68" s="82"/>
    </row>
    <row r="69" spans="1:27" ht="30" hidden="1" x14ac:dyDescent="0.25">
      <c r="A69" s="48">
        <v>99</v>
      </c>
      <c r="B69" s="48" t="s">
        <v>50</v>
      </c>
      <c r="C69" s="48" t="s">
        <v>67</v>
      </c>
      <c r="D69" s="48" t="s">
        <v>216</v>
      </c>
      <c r="E69" s="80" t="s">
        <v>36</v>
      </c>
      <c r="F69" s="80" t="str">
        <f>CONCATENATE(Table42[[#This Row],[Part]]," ",Table42[[#This Row],[Status]])</f>
        <v>2.3 User Experience and Interactions Not Checked</v>
      </c>
      <c r="G69" s="81"/>
      <c r="H69" s="82"/>
      <c r="I69" s="82"/>
      <c r="J69" s="82"/>
      <c r="K69" s="82"/>
      <c r="L69" s="82" t="s">
        <v>122</v>
      </c>
      <c r="M69" s="82"/>
      <c r="N69" s="82"/>
      <c r="O69" s="82"/>
      <c r="P69" s="82" t="s">
        <v>122</v>
      </c>
      <c r="Q69" s="82"/>
      <c r="R69" s="82"/>
      <c r="S69" s="82" t="s">
        <v>122</v>
      </c>
      <c r="T69" s="82" t="s">
        <v>122</v>
      </c>
      <c r="U69" s="82"/>
      <c r="V69" s="82"/>
      <c r="W69" s="82"/>
      <c r="X69" s="82"/>
      <c r="Y69" s="82"/>
      <c r="Z69" s="82"/>
      <c r="AA69" s="82"/>
    </row>
    <row r="70" spans="1:27" ht="30" x14ac:dyDescent="0.25">
      <c r="A70" s="48">
        <v>121</v>
      </c>
      <c r="B70" s="48" t="s">
        <v>195</v>
      </c>
      <c r="C70" s="48" t="s">
        <v>181</v>
      </c>
      <c r="D70" s="91" t="s">
        <v>236</v>
      </c>
      <c r="E70" s="80" t="s">
        <v>36</v>
      </c>
      <c r="F70" s="80" t="str">
        <f>CONCATENATE(Table42[[#This Row],[Part]]," ",Table42[[#This Row],[Status]])</f>
        <v>Section 2 - 2.3 Page Objects Not Checked</v>
      </c>
      <c r="G70" s="81" t="s">
        <v>122</v>
      </c>
      <c r="H70" s="82" t="s">
        <v>122</v>
      </c>
      <c r="I70" s="82" t="s">
        <v>122</v>
      </c>
      <c r="J70" s="82" t="s">
        <v>122</v>
      </c>
      <c r="K70" s="82" t="s">
        <v>122</v>
      </c>
      <c r="L70" s="82" t="s">
        <v>122</v>
      </c>
      <c r="M70" s="82" t="s">
        <v>122</v>
      </c>
      <c r="N70" s="82" t="s">
        <v>122</v>
      </c>
      <c r="O70" s="82" t="s">
        <v>122</v>
      </c>
      <c r="P70" s="82" t="s">
        <v>122</v>
      </c>
      <c r="Q70" s="82" t="s">
        <v>122</v>
      </c>
      <c r="R70" s="82" t="s">
        <v>122</v>
      </c>
      <c r="S70" s="82"/>
      <c r="T70" s="82"/>
      <c r="U70" s="82" t="s">
        <v>122</v>
      </c>
      <c r="V70" s="82" t="s">
        <v>122</v>
      </c>
      <c r="W70" s="82" t="s">
        <v>313</v>
      </c>
      <c r="X70" s="82"/>
      <c r="Y70" s="82"/>
      <c r="Z70" s="82"/>
      <c r="AA70" s="82"/>
    </row>
    <row r="71" spans="1:27" ht="45" x14ac:dyDescent="0.25">
      <c r="A71" s="48">
        <v>121</v>
      </c>
      <c r="B71" s="48" t="s">
        <v>195</v>
      </c>
      <c r="C71" s="48" t="s">
        <v>181</v>
      </c>
      <c r="D71" s="91" t="s">
        <v>219</v>
      </c>
      <c r="E71" s="80" t="s">
        <v>36</v>
      </c>
      <c r="F71" s="80" t="str">
        <f>CONCATENATE(Table42[[#This Row],[Part]]," ",Table42[[#This Row],[Status]])</f>
        <v>Section 2 - 2.3 Page Objects Not Checked</v>
      </c>
      <c r="G71" s="81" t="s">
        <v>122</v>
      </c>
      <c r="H71" s="82" t="s">
        <v>122</v>
      </c>
      <c r="I71" s="82" t="s">
        <v>122</v>
      </c>
      <c r="J71" s="82" t="s">
        <v>122</v>
      </c>
      <c r="K71" s="82" t="s">
        <v>122</v>
      </c>
      <c r="L71" s="82" t="s">
        <v>122</v>
      </c>
      <c r="M71" s="82" t="s">
        <v>122</v>
      </c>
      <c r="N71" s="82" t="s">
        <v>122</v>
      </c>
      <c r="O71" s="82" t="s">
        <v>122</v>
      </c>
      <c r="P71" s="82" t="s">
        <v>122</v>
      </c>
      <c r="Q71" s="82" t="s">
        <v>122</v>
      </c>
      <c r="R71" s="82" t="s">
        <v>122</v>
      </c>
      <c r="S71" s="82"/>
      <c r="T71" s="82"/>
      <c r="U71" s="82" t="s">
        <v>122</v>
      </c>
      <c r="V71" s="82" t="s">
        <v>122</v>
      </c>
      <c r="W71" s="82" t="s">
        <v>313</v>
      </c>
      <c r="X71" s="82"/>
      <c r="Y71" s="82"/>
      <c r="Z71" s="82"/>
      <c r="AA71" s="82"/>
    </row>
    <row r="72" spans="1:27" ht="30" x14ac:dyDescent="0.25">
      <c r="A72" s="48">
        <v>121</v>
      </c>
      <c r="B72" s="48" t="s">
        <v>195</v>
      </c>
      <c r="C72" s="48" t="s">
        <v>158</v>
      </c>
      <c r="D72" s="91" t="s">
        <v>220</v>
      </c>
      <c r="E72" s="80" t="s">
        <v>36</v>
      </c>
      <c r="F72" s="80" t="str">
        <f>CONCATENATE(Table42[[#This Row],[Part]]," ",Table42[[#This Row],[Status]])</f>
        <v>Section 2 - 3.1 Supported object types Not Checked</v>
      </c>
      <c r="G72" s="81" t="s">
        <v>122</v>
      </c>
      <c r="H72" s="82" t="s">
        <v>122</v>
      </c>
      <c r="I72" s="82" t="s">
        <v>122</v>
      </c>
      <c r="J72" s="82" t="s">
        <v>122</v>
      </c>
      <c r="K72" s="82" t="s">
        <v>122</v>
      </c>
      <c r="L72" s="82" t="s">
        <v>122</v>
      </c>
      <c r="M72" s="82" t="s">
        <v>122</v>
      </c>
      <c r="N72" s="82" t="s">
        <v>122</v>
      </c>
      <c r="O72" s="82" t="s">
        <v>122</v>
      </c>
      <c r="P72" s="82" t="s">
        <v>122</v>
      </c>
      <c r="Q72" s="82" t="s">
        <v>122</v>
      </c>
      <c r="R72" s="82" t="s">
        <v>122</v>
      </c>
      <c r="S72" s="82"/>
      <c r="T72" s="82"/>
      <c r="U72" s="82" t="s">
        <v>122</v>
      </c>
      <c r="V72" s="82" t="s">
        <v>122</v>
      </c>
      <c r="W72" s="82" t="s">
        <v>313</v>
      </c>
      <c r="X72" s="82"/>
      <c r="Y72" s="82"/>
      <c r="Z72" s="82"/>
      <c r="AA72" s="82"/>
    </row>
    <row r="73" spans="1:27" ht="30" x14ac:dyDescent="0.25">
      <c r="A73" s="48">
        <v>121</v>
      </c>
      <c r="B73" s="48" t="s">
        <v>195</v>
      </c>
      <c r="C73" s="48" t="s">
        <v>159</v>
      </c>
      <c r="D73" s="91" t="s">
        <v>245</v>
      </c>
      <c r="E73" s="80" t="s">
        <v>36</v>
      </c>
      <c r="F73" s="80" t="str">
        <f>CONCATENATE(Table42[[#This Row],[Part]]," ",Table42[[#This Row],[Status]])</f>
        <v>Section 2 - 3.2 Expected behavior for each object type Not Checked</v>
      </c>
      <c r="G73" s="81"/>
      <c r="H73" s="82"/>
      <c r="I73" s="82"/>
      <c r="J73" s="82"/>
      <c r="K73" s="82"/>
      <c r="L73" s="82" t="s">
        <v>122</v>
      </c>
      <c r="M73" s="82"/>
      <c r="N73" s="82"/>
      <c r="O73" s="82"/>
      <c r="P73" s="82"/>
      <c r="Q73" s="82"/>
      <c r="R73" s="82"/>
      <c r="S73" s="82"/>
      <c r="T73" s="82"/>
      <c r="U73" s="82" t="s">
        <v>122</v>
      </c>
      <c r="V73" s="82" t="s">
        <v>122</v>
      </c>
      <c r="W73" s="82" t="s">
        <v>313</v>
      </c>
      <c r="X73" s="82"/>
      <c r="Y73" s="82"/>
      <c r="Z73" s="82"/>
      <c r="AA73" s="82"/>
    </row>
    <row r="74" spans="1:27" ht="30" x14ac:dyDescent="0.25">
      <c r="A74" s="48">
        <v>121</v>
      </c>
      <c r="B74" s="48" t="s">
        <v>195</v>
      </c>
      <c r="C74" s="48" t="s">
        <v>160</v>
      </c>
      <c r="D74" s="91" t="s">
        <v>221</v>
      </c>
      <c r="E74" s="80" t="s">
        <v>36</v>
      </c>
      <c r="F74" s="80" t="str">
        <f>CONCATENATE(Table42[[#This Row],[Part]]," ",Table42[[#This Row],[Status]])</f>
        <v>Section 2 - 3.3 Data persistency and/or upgrade Not Checked</v>
      </c>
      <c r="G74" s="81" t="s">
        <v>122</v>
      </c>
      <c r="H74" s="82" t="s">
        <v>122</v>
      </c>
      <c r="I74" s="82" t="s">
        <v>122</v>
      </c>
      <c r="J74" s="82" t="s">
        <v>122</v>
      </c>
      <c r="K74" s="82" t="s">
        <v>122</v>
      </c>
      <c r="L74" s="82" t="s">
        <v>122</v>
      </c>
      <c r="M74" s="82" t="s">
        <v>122</v>
      </c>
      <c r="N74" s="82" t="s">
        <v>122</v>
      </c>
      <c r="O74" s="82" t="s">
        <v>122</v>
      </c>
      <c r="P74" s="82" t="s">
        <v>122</v>
      </c>
      <c r="Q74" s="82" t="s">
        <v>122</v>
      </c>
      <c r="R74" s="82" t="s">
        <v>122</v>
      </c>
      <c r="S74" s="82"/>
      <c r="T74" s="82"/>
      <c r="U74" s="82" t="s">
        <v>122</v>
      </c>
      <c r="V74" s="82" t="s">
        <v>122</v>
      </c>
      <c r="W74" s="82" t="s">
        <v>313</v>
      </c>
      <c r="X74" s="82"/>
      <c r="Y74" s="82"/>
      <c r="Z74" s="82"/>
      <c r="AA74" s="82"/>
    </row>
    <row r="75" spans="1:27" ht="30" x14ac:dyDescent="0.25">
      <c r="A75" s="48">
        <v>121</v>
      </c>
      <c r="B75" s="48" t="s">
        <v>195</v>
      </c>
      <c r="C75" s="48" t="s">
        <v>160</v>
      </c>
      <c r="D75" s="91" t="s">
        <v>51</v>
      </c>
      <c r="E75" s="80" t="s">
        <v>36</v>
      </c>
      <c r="F75" s="80" t="str">
        <f>CONCATENATE(Table42[[#This Row],[Part]]," ",Table42[[#This Row],[Status]])</f>
        <v>Section 2 - 3.3 Data persistency and/or upgrade Not Checked</v>
      </c>
      <c r="G75" s="81" t="s">
        <v>122</v>
      </c>
      <c r="H75" s="82" t="s">
        <v>122</v>
      </c>
      <c r="I75" s="82" t="s">
        <v>122</v>
      </c>
      <c r="J75" s="82" t="s">
        <v>122</v>
      </c>
      <c r="K75" s="82" t="s">
        <v>122</v>
      </c>
      <c r="L75" s="82" t="s">
        <v>122</v>
      </c>
      <c r="M75" s="82" t="s">
        <v>122</v>
      </c>
      <c r="N75" s="82" t="s">
        <v>122</v>
      </c>
      <c r="O75" s="82" t="s">
        <v>122</v>
      </c>
      <c r="P75" s="82" t="s">
        <v>122</v>
      </c>
      <c r="Q75" s="82" t="s">
        <v>122</v>
      </c>
      <c r="R75" s="82" t="s">
        <v>122</v>
      </c>
      <c r="S75" s="82"/>
      <c r="T75" s="82"/>
      <c r="U75" s="82" t="s">
        <v>122</v>
      </c>
      <c r="V75" s="82" t="s">
        <v>122</v>
      </c>
      <c r="W75" s="82" t="s">
        <v>313</v>
      </c>
      <c r="X75" s="82"/>
      <c r="Y75" s="82"/>
      <c r="Z75" s="82"/>
      <c r="AA75" s="82"/>
    </row>
    <row r="76" spans="1:27" x14ac:dyDescent="0.25">
      <c r="A76" s="48">
        <v>121</v>
      </c>
      <c r="B76" s="48" t="s">
        <v>195</v>
      </c>
      <c r="C76" s="48" t="s">
        <v>160</v>
      </c>
      <c r="D76" s="91" t="s">
        <v>39</v>
      </c>
      <c r="E76" s="80" t="s">
        <v>36</v>
      </c>
      <c r="F76" s="80" t="str">
        <f>CONCATENATE(Table42[[#This Row],[Part]]," ",Table42[[#This Row],[Status]])</f>
        <v>Section 2 - 3.3 Data persistency and/or upgrade Not Checked</v>
      </c>
      <c r="G76" s="81" t="s">
        <v>122</v>
      </c>
      <c r="H76" s="82" t="s">
        <v>122</v>
      </c>
      <c r="I76" s="82" t="s">
        <v>122</v>
      </c>
      <c r="J76" s="82" t="s">
        <v>122</v>
      </c>
      <c r="K76" s="82" t="s">
        <v>122</v>
      </c>
      <c r="L76" s="82" t="s">
        <v>122</v>
      </c>
      <c r="M76" s="82" t="s">
        <v>122</v>
      </c>
      <c r="N76" s="82" t="s">
        <v>122</v>
      </c>
      <c r="O76" s="82" t="s">
        <v>122</v>
      </c>
      <c r="P76" s="82" t="s">
        <v>122</v>
      </c>
      <c r="Q76" s="82" t="s">
        <v>122</v>
      </c>
      <c r="R76" s="82" t="s">
        <v>122</v>
      </c>
      <c r="S76" s="82"/>
      <c r="T76" s="82"/>
      <c r="U76" s="82" t="s">
        <v>122</v>
      </c>
      <c r="V76" s="82" t="s">
        <v>122</v>
      </c>
      <c r="W76" s="82" t="s">
        <v>313</v>
      </c>
      <c r="X76" s="82"/>
      <c r="Y76" s="82"/>
      <c r="Z76" s="82"/>
      <c r="AA76" s="82"/>
    </row>
    <row r="77" spans="1:27" x14ac:dyDescent="0.25">
      <c r="A77" s="48">
        <v>121</v>
      </c>
      <c r="B77" s="48" t="s">
        <v>195</v>
      </c>
      <c r="C77" s="48" t="s">
        <v>160</v>
      </c>
      <c r="D77" s="91" t="s">
        <v>40</v>
      </c>
      <c r="E77" s="80" t="s">
        <v>36</v>
      </c>
      <c r="F77" s="80" t="str">
        <f>CONCATENATE(Table42[[#This Row],[Part]]," ",Table42[[#This Row],[Status]])</f>
        <v>Section 2 - 3.3 Data persistency and/or upgrade Not Checked</v>
      </c>
      <c r="G77" s="81" t="s">
        <v>122</v>
      </c>
      <c r="H77" s="82" t="s">
        <v>122</v>
      </c>
      <c r="I77" s="82" t="s">
        <v>122</v>
      </c>
      <c r="J77" s="82" t="s">
        <v>122</v>
      </c>
      <c r="K77" s="82" t="s">
        <v>122</v>
      </c>
      <c r="L77" s="82" t="s">
        <v>122</v>
      </c>
      <c r="M77" s="82" t="s">
        <v>122</v>
      </c>
      <c r="N77" s="82" t="s">
        <v>122</v>
      </c>
      <c r="O77" s="82" t="s">
        <v>122</v>
      </c>
      <c r="P77" s="82" t="s">
        <v>122</v>
      </c>
      <c r="Q77" s="82" t="s">
        <v>122</v>
      </c>
      <c r="R77" s="82" t="s">
        <v>122</v>
      </c>
      <c r="S77" s="82"/>
      <c r="T77" s="82"/>
      <c r="U77" s="82" t="s">
        <v>122</v>
      </c>
      <c r="V77" s="82" t="s">
        <v>122</v>
      </c>
      <c r="W77" s="82" t="s">
        <v>313</v>
      </c>
      <c r="X77" s="82"/>
      <c r="Y77" s="82"/>
      <c r="Z77" s="82"/>
      <c r="AA77" s="82"/>
    </row>
    <row r="78" spans="1:27" ht="30" x14ac:dyDescent="0.25">
      <c r="A78" s="48">
        <v>121</v>
      </c>
      <c r="B78" s="48" t="s">
        <v>195</v>
      </c>
      <c r="C78" s="48" t="s">
        <v>160</v>
      </c>
      <c r="D78" s="91" t="s">
        <v>222</v>
      </c>
      <c r="E78" s="80" t="s">
        <v>36</v>
      </c>
      <c r="F78" s="80" t="str">
        <f>CONCATENATE(Table42[[#This Row],[Part]]," ",Table42[[#This Row],[Status]])</f>
        <v>Section 2 - 3.3 Data persistency and/or upgrade Not Checked</v>
      </c>
      <c r="G78" s="81"/>
      <c r="H78" s="82"/>
      <c r="I78" s="82"/>
      <c r="J78" s="82"/>
      <c r="K78" s="82" t="s">
        <v>122</v>
      </c>
      <c r="L78" s="82"/>
      <c r="M78" s="82"/>
      <c r="N78" s="82"/>
      <c r="O78" s="82"/>
      <c r="P78" s="82"/>
      <c r="Q78" s="82"/>
      <c r="R78" s="82"/>
      <c r="S78" s="82"/>
      <c r="T78" s="82"/>
      <c r="U78" s="82" t="s">
        <v>122</v>
      </c>
      <c r="V78" s="82" t="s">
        <v>122</v>
      </c>
      <c r="W78" s="82" t="s">
        <v>313</v>
      </c>
      <c r="X78" s="82"/>
      <c r="Y78" s="82"/>
      <c r="Z78" s="82"/>
      <c r="AA78" s="82"/>
    </row>
    <row r="79" spans="1:27" ht="45" x14ac:dyDescent="0.25">
      <c r="A79" s="48">
        <v>121</v>
      </c>
      <c r="B79" s="48" t="s">
        <v>195</v>
      </c>
      <c r="C79" s="48" t="s">
        <v>160</v>
      </c>
      <c r="D79" s="91" t="s">
        <v>223</v>
      </c>
      <c r="E79" s="80" t="s">
        <v>36</v>
      </c>
      <c r="F79" s="80" t="str">
        <f>CONCATENATE(Table42[[#This Row],[Part]]," ",Table42[[#This Row],[Status]])</f>
        <v>Section 2 - 3.3 Data persistency and/or upgrade Not Checked</v>
      </c>
      <c r="G79" s="81" t="s">
        <v>122</v>
      </c>
      <c r="H79" s="82" t="s">
        <v>122</v>
      </c>
      <c r="I79" s="82" t="s">
        <v>122</v>
      </c>
      <c r="J79" s="82" t="s">
        <v>122</v>
      </c>
      <c r="K79" s="82" t="s">
        <v>122</v>
      </c>
      <c r="L79" s="82" t="s">
        <v>122</v>
      </c>
      <c r="M79" s="82" t="s">
        <v>122</v>
      </c>
      <c r="N79" s="82" t="s">
        <v>122</v>
      </c>
      <c r="O79" s="82" t="s">
        <v>122</v>
      </c>
      <c r="P79" s="82" t="s">
        <v>122</v>
      </c>
      <c r="Q79" s="82" t="s">
        <v>122</v>
      </c>
      <c r="R79" s="82" t="s">
        <v>122</v>
      </c>
      <c r="S79" s="82"/>
      <c r="T79" s="82"/>
      <c r="U79" s="82" t="s">
        <v>122</v>
      </c>
      <c r="V79" s="82" t="s">
        <v>122</v>
      </c>
      <c r="W79" s="82" t="s">
        <v>313</v>
      </c>
      <c r="X79" s="82"/>
      <c r="Y79" s="82"/>
      <c r="Z79" s="82"/>
      <c r="AA79" s="82"/>
    </row>
    <row r="80" spans="1:27" ht="30" x14ac:dyDescent="0.25">
      <c r="A80" s="48">
        <v>121</v>
      </c>
      <c r="B80" s="48" t="s">
        <v>195</v>
      </c>
      <c r="C80" s="48" t="s">
        <v>160</v>
      </c>
      <c r="D80" s="91" t="s">
        <v>246</v>
      </c>
      <c r="E80" s="80" t="s">
        <v>36</v>
      </c>
      <c r="F80" s="80" t="str">
        <f>CONCATENATE(Table42[[#This Row],[Part]]," ",Table42[[#This Row],[Status]])</f>
        <v>Section 2 - 3.3 Data persistency and/or upgrade Not Checked</v>
      </c>
      <c r="G80" s="81"/>
      <c r="H80" s="82"/>
      <c r="I80" s="82"/>
      <c r="J80" s="82"/>
      <c r="K80" s="82" t="s">
        <v>122</v>
      </c>
      <c r="L80" s="82" t="s">
        <v>122</v>
      </c>
      <c r="M80" s="82"/>
      <c r="N80" s="82"/>
      <c r="O80" s="82"/>
      <c r="P80" s="82"/>
      <c r="Q80" s="82" t="s">
        <v>122</v>
      </c>
      <c r="R80" s="82"/>
      <c r="S80" s="82"/>
      <c r="T80" s="82"/>
      <c r="U80" s="82" t="s">
        <v>122</v>
      </c>
      <c r="V80" s="82" t="s">
        <v>122</v>
      </c>
      <c r="W80" s="82" t="s">
        <v>313</v>
      </c>
      <c r="X80" s="82"/>
      <c r="Y80" s="82"/>
      <c r="Z80" s="82"/>
      <c r="AA80" s="82"/>
    </row>
    <row r="81" spans="1:27" x14ac:dyDescent="0.25">
      <c r="A81" s="48">
        <v>121</v>
      </c>
      <c r="B81" s="48" t="s">
        <v>195</v>
      </c>
      <c r="C81" s="48" t="s">
        <v>160</v>
      </c>
      <c r="D81" s="91" t="s">
        <v>247</v>
      </c>
      <c r="E81" s="80" t="s">
        <v>36</v>
      </c>
      <c r="F81" s="80" t="str">
        <f>CONCATENATE(Table42[[#This Row],[Part]]," ",Table42[[#This Row],[Status]])</f>
        <v>Section 2 - 3.3 Data persistency and/or upgrade Not Checked</v>
      </c>
      <c r="G81" s="81"/>
      <c r="H81" s="82"/>
      <c r="I81" s="82"/>
      <c r="J81" s="82"/>
      <c r="K81" s="82" t="s">
        <v>122</v>
      </c>
      <c r="L81" s="82" t="s">
        <v>122</v>
      </c>
      <c r="M81" s="82"/>
      <c r="N81" s="82"/>
      <c r="O81" s="82"/>
      <c r="P81" s="82"/>
      <c r="Q81" s="82"/>
      <c r="R81" s="82"/>
      <c r="S81" s="82"/>
      <c r="T81" s="82"/>
      <c r="U81" s="82" t="s">
        <v>122</v>
      </c>
      <c r="V81" s="82" t="s">
        <v>122</v>
      </c>
      <c r="W81" s="82" t="s">
        <v>313</v>
      </c>
      <c r="X81" s="82"/>
      <c r="Y81" s="82"/>
      <c r="Z81" s="82"/>
      <c r="AA81" s="82"/>
    </row>
    <row r="82" spans="1:27" ht="30" x14ac:dyDescent="0.25">
      <c r="A82" s="48">
        <v>121</v>
      </c>
      <c r="B82" s="48" t="s">
        <v>195</v>
      </c>
      <c r="C82" s="48" t="s">
        <v>160</v>
      </c>
      <c r="D82" s="91" t="s">
        <v>224</v>
      </c>
      <c r="E82" s="80" t="s">
        <v>36</v>
      </c>
      <c r="F82" s="80" t="str">
        <f>CONCATENATE(Table42[[#This Row],[Part]]," ",Table42[[#This Row],[Status]])</f>
        <v>Section 2 - 3.3 Data persistency and/or upgrade Not Checked</v>
      </c>
      <c r="G82" s="81" t="s">
        <v>122</v>
      </c>
      <c r="H82" s="82" t="s">
        <v>122</v>
      </c>
      <c r="I82" s="82" t="s">
        <v>122</v>
      </c>
      <c r="J82" s="82" t="s">
        <v>122</v>
      </c>
      <c r="K82" s="82" t="s">
        <v>122</v>
      </c>
      <c r="L82" s="82" t="s">
        <v>122</v>
      </c>
      <c r="M82" s="82" t="s">
        <v>122</v>
      </c>
      <c r="N82" s="82" t="s">
        <v>122</v>
      </c>
      <c r="O82" s="82" t="s">
        <v>122</v>
      </c>
      <c r="P82" s="82" t="s">
        <v>122</v>
      </c>
      <c r="Q82" s="82" t="s">
        <v>122</v>
      </c>
      <c r="R82" s="82" t="s">
        <v>122</v>
      </c>
      <c r="S82" s="82"/>
      <c r="T82" s="82"/>
      <c r="U82" s="82" t="s">
        <v>122</v>
      </c>
      <c r="V82" s="82" t="s">
        <v>122</v>
      </c>
      <c r="W82" s="82" t="s">
        <v>313</v>
      </c>
      <c r="X82" s="82"/>
      <c r="Y82" s="82"/>
      <c r="Z82" s="82"/>
      <c r="AA82" s="82"/>
    </row>
    <row r="83" spans="1:27" ht="30" x14ac:dyDescent="0.25">
      <c r="A83" s="48">
        <v>121</v>
      </c>
      <c r="B83" s="48" t="s">
        <v>195</v>
      </c>
      <c r="C83" s="48" t="s">
        <v>160</v>
      </c>
      <c r="D83" s="91" t="s">
        <v>225</v>
      </c>
      <c r="E83" s="80" t="s">
        <v>36</v>
      </c>
      <c r="F83" s="80" t="str">
        <f>CONCATENATE(Table42[[#This Row],[Part]]," ",Table42[[#This Row],[Status]])</f>
        <v>Section 2 - 3.3 Data persistency and/or upgrade Not Checked</v>
      </c>
      <c r="G83" s="81" t="s">
        <v>122</v>
      </c>
      <c r="H83" s="82" t="s">
        <v>122</v>
      </c>
      <c r="I83" s="82" t="s">
        <v>122</v>
      </c>
      <c r="J83" s="82" t="s">
        <v>122</v>
      </c>
      <c r="K83" s="82" t="s">
        <v>122</v>
      </c>
      <c r="L83" s="82" t="s">
        <v>122</v>
      </c>
      <c r="M83" s="82" t="s">
        <v>122</v>
      </c>
      <c r="N83" s="82" t="s">
        <v>122</v>
      </c>
      <c r="O83" s="82" t="s">
        <v>122</v>
      </c>
      <c r="P83" s="82" t="s">
        <v>122</v>
      </c>
      <c r="Q83" s="82" t="s">
        <v>122</v>
      </c>
      <c r="R83" s="82" t="s">
        <v>122</v>
      </c>
      <c r="S83" s="82"/>
      <c r="T83" s="82"/>
      <c r="U83" s="82" t="s">
        <v>122</v>
      </c>
      <c r="V83" s="82" t="s">
        <v>122</v>
      </c>
      <c r="W83" s="82" t="s">
        <v>313</v>
      </c>
      <c r="X83" s="82"/>
      <c r="Y83" s="82"/>
      <c r="Z83" s="82"/>
      <c r="AA83" s="82"/>
    </row>
    <row r="84" spans="1:27" ht="60" x14ac:dyDescent="0.25">
      <c r="A84" s="48">
        <v>121</v>
      </c>
      <c r="B84" s="48" t="s">
        <v>195</v>
      </c>
      <c r="C84" s="48" t="s">
        <v>161</v>
      </c>
      <c r="D84" s="91" t="s">
        <v>226</v>
      </c>
      <c r="E84" s="80" t="s">
        <v>36</v>
      </c>
      <c r="F84" s="80" t="str">
        <f>CONCATENATE(Table42[[#This Row],[Part]]," ",Table42[[#This Row],[Status]])</f>
        <v>Section 2 - 3.4 Data repository Not Checked</v>
      </c>
      <c r="G84" s="81" t="s">
        <v>122</v>
      </c>
      <c r="H84" s="82" t="s">
        <v>122</v>
      </c>
      <c r="I84" s="82" t="s">
        <v>122</v>
      </c>
      <c r="J84" s="82" t="s">
        <v>122</v>
      </c>
      <c r="K84" s="82" t="s">
        <v>122</v>
      </c>
      <c r="L84" s="82" t="s">
        <v>122</v>
      </c>
      <c r="M84" s="82" t="s">
        <v>122</v>
      </c>
      <c r="N84" s="82" t="s">
        <v>122</v>
      </c>
      <c r="O84" s="82" t="s">
        <v>122</v>
      </c>
      <c r="P84" s="82" t="s">
        <v>122</v>
      </c>
      <c r="Q84" s="82" t="s">
        <v>122</v>
      </c>
      <c r="R84" s="82" t="s">
        <v>122</v>
      </c>
      <c r="S84" s="82"/>
      <c r="T84" s="82"/>
      <c r="U84" s="82" t="s">
        <v>122</v>
      </c>
      <c r="V84" s="82" t="s">
        <v>122</v>
      </c>
      <c r="W84" s="82" t="s">
        <v>313</v>
      </c>
      <c r="X84" s="82"/>
      <c r="Y84" s="82"/>
      <c r="Z84" s="82"/>
      <c r="AA84" s="82"/>
    </row>
    <row r="85" spans="1:27" ht="30" hidden="1" x14ac:dyDescent="0.25">
      <c r="A85" s="48">
        <v>47</v>
      </c>
      <c r="B85" s="48" t="s">
        <v>50</v>
      </c>
      <c r="C85" s="48" t="s">
        <v>68</v>
      </c>
      <c r="D85" s="48" t="s">
        <v>227</v>
      </c>
      <c r="E85" s="80" t="s">
        <v>36</v>
      </c>
      <c r="F85" s="80" t="str">
        <f>CONCATENATE(Table42[[#This Row],[Part]]," ",Table42[[#This Row],[Status]])</f>
        <v>2.4 Customization by end user or administrator Not Checked</v>
      </c>
      <c r="G85" s="81" t="s">
        <v>122</v>
      </c>
      <c r="H85" s="82" t="s">
        <v>122</v>
      </c>
      <c r="I85" s="82" t="s">
        <v>122</v>
      </c>
      <c r="J85" s="82" t="s">
        <v>122</v>
      </c>
      <c r="K85" s="82" t="s">
        <v>122</v>
      </c>
      <c r="L85" s="82" t="s">
        <v>122</v>
      </c>
      <c r="M85" s="82" t="s">
        <v>122</v>
      </c>
      <c r="N85" s="82" t="s">
        <v>122</v>
      </c>
      <c r="O85" s="82" t="s">
        <v>122</v>
      </c>
      <c r="P85" s="82" t="s">
        <v>122</v>
      </c>
      <c r="Q85" s="82" t="s">
        <v>122</v>
      </c>
      <c r="R85" s="82" t="s">
        <v>122</v>
      </c>
      <c r="S85" s="82" t="s">
        <v>122</v>
      </c>
      <c r="T85" s="82" t="s">
        <v>122</v>
      </c>
      <c r="U85" s="82"/>
      <c r="V85" s="82"/>
      <c r="W85" s="82"/>
      <c r="X85" s="82"/>
      <c r="Y85" s="82"/>
      <c r="Z85" s="82"/>
      <c r="AA85" s="82"/>
    </row>
    <row r="86" spans="1:27" ht="30" x14ac:dyDescent="0.25">
      <c r="A86" s="48">
        <v>121</v>
      </c>
      <c r="B86" s="48" t="s">
        <v>195</v>
      </c>
      <c r="C86" s="48" t="s">
        <v>162</v>
      </c>
      <c r="D86" s="91" t="s">
        <v>227</v>
      </c>
      <c r="E86" s="80" t="s">
        <v>36</v>
      </c>
      <c r="F86" s="80" t="str">
        <f>CONCATENATE(Table42[[#This Row],[Part]]," ",Table42[[#This Row],[Status]])</f>
        <v>Section 2 - 4 Customization by end user or administrator Not Checked</v>
      </c>
      <c r="G86" s="81" t="s">
        <v>122</v>
      </c>
      <c r="H86" s="82" t="s">
        <v>122</v>
      </c>
      <c r="I86" s="82" t="s">
        <v>122</v>
      </c>
      <c r="J86" s="82" t="s">
        <v>122</v>
      </c>
      <c r="K86" s="82" t="s">
        <v>122</v>
      </c>
      <c r="L86" s="82" t="s">
        <v>122</v>
      </c>
      <c r="M86" s="82" t="s">
        <v>122</v>
      </c>
      <c r="N86" s="82" t="s">
        <v>122</v>
      </c>
      <c r="O86" s="82" t="s">
        <v>122</v>
      </c>
      <c r="P86" s="82" t="s">
        <v>122</v>
      </c>
      <c r="Q86" s="82" t="s">
        <v>122</v>
      </c>
      <c r="R86" s="82" t="s">
        <v>122</v>
      </c>
      <c r="S86" s="82"/>
      <c r="T86" s="82"/>
      <c r="U86" s="82" t="s">
        <v>122</v>
      </c>
      <c r="V86" s="82" t="s">
        <v>122</v>
      </c>
      <c r="W86" s="82" t="s">
        <v>313</v>
      </c>
      <c r="X86" s="82"/>
      <c r="Y86" s="82"/>
      <c r="Z86" s="82"/>
      <c r="AA86" s="82"/>
    </row>
    <row r="87" spans="1:27" ht="30" hidden="1" x14ac:dyDescent="0.25">
      <c r="A87" s="48">
        <v>48</v>
      </c>
      <c r="B87" s="48" t="s">
        <v>50</v>
      </c>
      <c r="C87" s="48" t="s">
        <v>68</v>
      </c>
      <c r="D87" s="48" t="s">
        <v>277</v>
      </c>
      <c r="E87" s="80" t="s">
        <v>36</v>
      </c>
      <c r="F87" s="80" t="str">
        <f>CONCATENATE(Table42[[#This Row],[Part]]," ",Table42[[#This Row],[Status]])</f>
        <v>2.4 Customization by end user or administrator Not Checked</v>
      </c>
      <c r="G87" s="81" t="s">
        <v>122</v>
      </c>
      <c r="H87" s="82" t="s">
        <v>122</v>
      </c>
      <c r="I87" s="82" t="s">
        <v>122</v>
      </c>
      <c r="J87" s="82" t="s">
        <v>122</v>
      </c>
      <c r="K87" s="82" t="s">
        <v>122</v>
      </c>
      <c r="L87" s="82" t="s">
        <v>122</v>
      </c>
      <c r="M87" s="82" t="s">
        <v>122</v>
      </c>
      <c r="N87" s="82" t="s">
        <v>122</v>
      </c>
      <c r="O87" s="82" t="s">
        <v>122</v>
      </c>
      <c r="P87" s="82" t="s">
        <v>122</v>
      </c>
      <c r="Q87" s="82" t="s">
        <v>122</v>
      </c>
      <c r="R87" s="82" t="s">
        <v>122</v>
      </c>
      <c r="S87" s="82" t="s">
        <v>122</v>
      </c>
      <c r="T87" s="82" t="s">
        <v>122</v>
      </c>
      <c r="U87" s="82"/>
      <c r="V87" s="82"/>
      <c r="W87" s="82"/>
      <c r="X87" s="82"/>
      <c r="Y87" s="82"/>
      <c r="Z87" s="82"/>
      <c r="AA87" s="82"/>
    </row>
    <row r="88" spans="1:27" ht="30" x14ac:dyDescent="0.25">
      <c r="A88" s="48">
        <v>121</v>
      </c>
      <c r="B88" s="48" t="s">
        <v>195</v>
      </c>
      <c r="C88" s="48" t="s">
        <v>162</v>
      </c>
      <c r="D88" s="91" t="s">
        <v>277</v>
      </c>
      <c r="E88" s="80" t="s">
        <v>36</v>
      </c>
      <c r="F88" s="80" t="str">
        <f>CONCATENATE(Table42[[#This Row],[Part]]," ",Table42[[#This Row],[Status]])</f>
        <v>Section 2 - 4 Customization by end user or administrator Not Checked</v>
      </c>
      <c r="G88" s="81" t="s">
        <v>122</v>
      </c>
      <c r="H88" s="82" t="s">
        <v>122</v>
      </c>
      <c r="I88" s="82" t="s">
        <v>122</v>
      </c>
      <c r="J88" s="82" t="s">
        <v>122</v>
      </c>
      <c r="K88" s="82" t="s">
        <v>122</v>
      </c>
      <c r="L88" s="82" t="s">
        <v>122</v>
      </c>
      <c r="M88" s="82" t="s">
        <v>122</v>
      </c>
      <c r="N88" s="82" t="s">
        <v>122</v>
      </c>
      <c r="O88" s="82" t="s">
        <v>122</v>
      </c>
      <c r="P88" s="82" t="s">
        <v>122</v>
      </c>
      <c r="Q88" s="82" t="s">
        <v>122</v>
      </c>
      <c r="R88" s="82" t="s">
        <v>122</v>
      </c>
      <c r="S88" s="82"/>
      <c r="T88" s="82"/>
      <c r="U88" s="82" t="s">
        <v>122</v>
      </c>
      <c r="V88" s="82" t="s">
        <v>122</v>
      </c>
      <c r="W88" s="82" t="s">
        <v>313</v>
      </c>
      <c r="X88" s="82"/>
      <c r="Y88" s="82"/>
      <c r="Z88" s="82"/>
      <c r="AA88" s="82"/>
    </row>
    <row r="89" spans="1:27" ht="30" hidden="1" x14ac:dyDescent="0.25">
      <c r="A89" s="48">
        <v>49</v>
      </c>
      <c r="B89" s="48" t="s">
        <v>50</v>
      </c>
      <c r="C89" s="48" t="s">
        <v>68</v>
      </c>
      <c r="D89" s="48" t="s">
        <v>278</v>
      </c>
      <c r="E89" s="80" t="s">
        <v>36</v>
      </c>
      <c r="F89" s="80" t="str">
        <f>CONCATENATE(Table42[[#This Row],[Part]]," ",Table42[[#This Row],[Status]])</f>
        <v>2.4 Customization by end user or administrator Not Checked</v>
      </c>
      <c r="G89" s="81"/>
      <c r="H89" s="82"/>
      <c r="I89" s="82"/>
      <c r="J89" s="82"/>
      <c r="K89" s="82" t="s">
        <v>122</v>
      </c>
      <c r="L89" s="82" t="s">
        <v>122</v>
      </c>
      <c r="M89" s="82"/>
      <c r="N89" s="82"/>
      <c r="O89" s="82"/>
      <c r="P89" s="82"/>
      <c r="Q89" s="82"/>
      <c r="R89" s="82"/>
      <c r="S89" s="82" t="s">
        <v>122</v>
      </c>
      <c r="T89" s="82" t="s">
        <v>122</v>
      </c>
      <c r="U89" s="82"/>
      <c r="V89" s="82"/>
      <c r="W89" s="82"/>
      <c r="X89" s="82"/>
      <c r="Y89" s="82"/>
      <c r="Z89" s="82"/>
      <c r="AA89" s="82"/>
    </row>
    <row r="90" spans="1:27" ht="30" x14ac:dyDescent="0.25">
      <c r="A90" s="48">
        <v>121</v>
      </c>
      <c r="B90" s="48" t="s">
        <v>195</v>
      </c>
      <c r="C90" s="48" t="s">
        <v>162</v>
      </c>
      <c r="D90" s="91" t="s">
        <v>279</v>
      </c>
      <c r="E90" s="80" t="s">
        <v>36</v>
      </c>
      <c r="F90" s="80" t="str">
        <f>CONCATENATE(Table42[[#This Row],[Part]]," ",Table42[[#This Row],[Status]])</f>
        <v>Section 2 - 4 Customization by end user or administrator Not Checked</v>
      </c>
      <c r="G90" s="81"/>
      <c r="H90" s="82"/>
      <c r="I90" s="82"/>
      <c r="J90" s="82"/>
      <c r="K90" s="82" t="s">
        <v>122</v>
      </c>
      <c r="L90" s="82" t="s">
        <v>122</v>
      </c>
      <c r="M90" s="82"/>
      <c r="N90" s="82"/>
      <c r="O90" s="82"/>
      <c r="P90" s="82"/>
      <c r="Q90" s="82"/>
      <c r="R90" s="82"/>
      <c r="S90" s="82"/>
      <c r="T90" s="82"/>
      <c r="U90" s="82" t="s">
        <v>122</v>
      </c>
      <c r="V90" s="82" t="s">
        <v>122</v>
      </c>
      <c r="W90" s="82" t="s">
        <v>313</v>
      </c>
      <c r="X90" s="82"/>
      <c r="Y90" s="82"/>
      <c r="Z90" s="82"/>
      <c r="AA90" s="82"/>
    </row>
    <row r="91" spans="1:27" hidden="1" x14ac:dyDescent="0.25">
      <c r="A91" s="48">
        <v>50</v>
      </c>
      <c r="B91" s="48" t="s">
        <v>50</v>
      </c>
      <c r="C91" s="48" t="s">
        <v>68</v>
      </c>
      <c r="D91" s="48" t="s">
        <v>280</v>
      </c>
      <c r="E91" s="80" t="s">
        <v>36</v>
      </c>
      <c r="F91" s="80" t="str">
        <f>CONCATENATE(Table42[[#This Row],[Part]]," ",Table42[[#This Row],[Status]])</f>
        <v>2.4 Customization by end user or administrator Not Checked</v>
      </c>
      <c r="G91" s="81"/>
      <c r="H91" s="82"/>
      <c r="I91" s="82"/>
      <c r="J91" s="82"/>
      <c r="K91" s="82"/>
      <c r="L91" s="82" t="s">
        <v>122</v>
      </c>
      <c r="M91" s="82"/>
      <c r="N91" s="82"/>
      <c r="O91" s="82"/>
      <c r="P91" s="82"/>
      <c r="Q91" s="82"/>
      <c r="R91" s="82"/>
      <c r="S91" s="82" t="s">
        <v>122</v>
      </c>
      <c r="T91" s="82" t="s">
        <v>122</v>
      </c>
      <c r="U91" s="82"/>
      <c r="V91" s="82"/>
      <c r="W91" s="82"/>
      <c r="X91" s="82"/>
      <c r="Y91" s="82"/>
      <c r="Z91" s="82"/>
      <c r="AA91" s="82"/>
    </row>
    <row r="92" spans="1:27" ht="30" x14ac:dyDescent="0.25">
      <c r="A92" s="48">
        <v>121</v>
      </c>
      <c r="B92" s="48" t="s">
        <v>195</v>
      </c>
      <c r="C92" s="48" t="s">
        <v>162</v>
      </c>
      <c r="D92" s="94" t="s">
        <v>280</v>
      </c>
      <c r="E92" s="80" t="s">
        <v>36</v>
      </c>
      <c r="F92" s="80" t="str">
        <f>CONCATENATE(Table42[[#This Row],[Part]]," ",Table42[[#This Row],[Status]])</f>
        <v>Section 2 - 4 Customization by end user or administrator Not Checked</v>
      </c>
      <c r="G92" s="81"/>
      <c r="H92" s="82"/>
      <c r="I92" s="82"/>
      <c r="J92" s="82"/>
      <c r="K92" s="82"/>
      <c r="L92" s="82" t="s">
        <v>122</v>
      </c>
      <c r="M92" s="82"/>
      <c r="N92" s="82"/>
      <c r="O92" s="82"/>
      <c r="P92" s="82"/>
      <c r="Q92" s="82"/>
      <c r="R92" s="82"/>
      <c r="S92" s="82"/>
      <c r="T92" s="82"/>
      <c r="U92" s="82" t="s">
        <v>122</v>
      </c>
      <c r="V92" s="82" t="s">
        <v>122</v>
      </c>
      <c r="W92" s="82" t="s">
        <v>322</v>
      </c>
      <c r="X92" s="82" t="s">
        <v>332</v>
      </c>
      <c r="Y92" s="82" t="s">
        <v>319</v>
      </c>
      <c r="Z92" s="82"/>
      <c r="AA92" s="82"/>
    </row>
    <row r="93" spans="1:27" hidden="1" x14ac:dyDescent="0.25">
      <c r="A93" s="48">
        <v>51</v>
      </c>
      <c r="B93" s="48" t="s">
        <v>50</v>
      </c>
      <c r="C93" s="48" t="s">
        <v>68</v>
      </c>
      <c r="D93" s="48" t="s">
        <v>92</v>
      </c>
      <c r="E93" s="80" t="s">
        <v>36</v>
      </c>
      <c r="F93" s="80" t="str">
        <f>CONCATENATE(Table42[[#This Row],[Part]]," ",Table42[[#This Row],[Status]])</f>
        <v>2.4 Customization by end user or administrator Not Checked</v>
      </c>
      <c r="G93" s="81"/>
      <c r="H93" s="82"/>
      <c r="I93" s="82"/>
      <c r="J93" s="82"/>
      <c r="K93" s="82"/>
      <c r="L93" s="82" t="s">
        <v>122</v>
      </c>
      <c r="M93" s="82"/>
      <c r="N93" s="82"/>
      <c r="O93" s="82"/>
      <c r="P93" s="82"/>
      <c r="Q93" s="82"/>
      <c r="R93" s="82"/>
      <c r="S93" s="82" t="s">
        <v>122</v>
      </c>
      <c r="T93" s="82" t="s">
        <v>122</v>
      </c>
      <c r="U93" s="82"/>
      <c r="V93" s="82"/>
      <c r="W93" s="82"/>
      <c r="X93" s="82"/>
      <c r="Y93" s="82"/>
      <c r="Z93" s="82"/>
      <c r="AA93" s="82"/>
    </row>
    <row r="94" spans="1:27" ht="30" x14ac:dyDescent="0.25">
      <c r="A94" s="48">
        <v>121</v>
      </c>
      <c r="B94" s="48" t="s">
        <v>195</v>
      </c>
      <c r="C94" s="48" t="s">
        <v>162</v>
      </c>
      <c r="D94" s="94" t="s">
        <v>92</v>
      </c>
      <c r="E94" s="80" t="s">
        <v>36</v>
      </c>
      <c r="F94" s="80" t="str">
        <f>CONCATENATE(Table42[[#This Row],[Part]]," ",Table42[[#This Row],[Status]])</f>
        <v>Section 2 - 4 Customization by end user or administrator Not Checked</v>
      </c>
      <c r="G94" s="81"/>
      <c r="H94" s="82"/>
      <c r="I94" s="82"/>
      <c r="J94" s="82"/>
      <c r="K94" s="82"/>
      <c r="L94" s="82" t="s">
        <v>122</v>
      </c>
      <c r="M94" s="82"/>
      <c r="N94" s="82"/>
      <c r="O94" s="82"/>
      <c r="P94" s="82"/>
      <c r="Q94" s="82"/>
      <c r="R94" s="82"/>
      <c r="S94" s="82"/>
      <c r="T94" s="82"/>
      <c r="U94" s="82" t="s">
        <v>122</v>
      </c>
      <c r="V94" s="82" t="s">
        <v>122</v>
      </c>
      <c r="W94" s="82" t="s">
        <v>322</v>
      </c>
      <c r="X94" s="82" t="s">
        <v>332</v>
      </c>
      <c r="Y94" s="82" t="s">
        <v>320</v>
      </c>
      <c r="Z94" s="82"/>
      <c r="AA94" s="82"/>
    </row>
    <row r="95" spans="1:27" hidden="1" x14ac:dyDescent="0.25">
      <c r="A95" s="48">
        <v>52</v>
      </c>
      <c r="B95" s="48" t="s">
        <v>50</v>
      </c>
      <c r="C95" s="48" t="s">
        <v>68</v>
      </c>
      <c r="D95" s="48" t="s">
        <v>228</v>
      </c>
      <c r="E95" s="80" t="s">
        <v>36</v>
      </c>
      <c r="F95" s="80" t="str">
        <f>CONCATENATE(Table42[[#This Row],[Part]]," ",Table42[[#This Row],[Status]])</f>
        <v>2.4 Customization by end user or administrator Not Checked</v>
      </c>
      <c r="G95" s="81"/>
      <c r="H95" s="82"/>
      <c r="I95" s="82"/>
      <c r="J95" s="82"/>
      <c r="K95" s="82"/>
      <c r="L95" s="82" t="s">
        <v>122</v>
      </c>
      <c r="M95" s="82"/>
      <c r="N95" s="82"/>
      <c r="O95" s="82"/>
      <c r="P95" s="82"/>
      <c r="Q95" s="82"/>
      <c r="R95" s="82"/>
      <c r="S95" s="82" t="s">
        <v>122</v>
      </c>
      <c r="T95" s="82" t="s">
        <v>122</v>
      </c>
      <c r="U95" s="82"/>
      <c r="V95" s="82"/>
      <c r="W95" s="82"/>
      <c r="X95" s="82"/>
      <c r="Y95" s="82"/>
      <c r="Z95" s="82"/>
      <c r="AA95" s="82"/>
    </row>
    <row r="96" spans="1:27" ht="30" x14ac:dyDescent="0.25">
      <c r="A96" s="48">
        <v>121</v>
      </c>
      <c r="B96" s="48" t="s">
        <v>195</v>
      </c>
      <c r="C96" s="48" t="s">
        <v>162</v>
      </c>
      <c r="D96" s="94" t="s">
        <v>228</v>
      </c>
      <c r="E96" s="80" t="s">
        <v>36</v>
      </c>
      <c r="F96" s="80" t="str">
        <f>CONCATENATE(Table42[[#This Row],[Part]]," ",Table42[[#This Row],[Status]])</f>
        <v>Section 2 - 4 Customization by end user or administrator Not Checked</v>
      </c>
      <c r="G96" s="81"/>
      <c r="H96" s="82"/>
      <c r="I96" s="82"/>
      <c r="J96" s="82"/>
      <c r="K96" s="82"/>
      <c r="L96" s="82" t="s">
        <v>122</v>
      </c>
      <c r="M96" s="82"/>
      <c r="N96" s="82"/>
      <c r="O96" s="82"/>
      <c r="P96" s="82"/>
      <c r="Q96" s="82"/>
      <c r="R96" s="82"/>
      <c r="S96" s="82"/>
      <c r="T96" s="82"/>
      <c r="U96" s="82" t="s">
        <v>122</v>
      </c>
      <c r="V96" s="82" t="s">
        <v>122</v>
      </c>
      <c r="W96" s="82" t="s">
        <v>322</v>
      </c>
      <c r="X96" s="82" t="s">
        <v>332</v>
      </c>
      <c r="Y96" s="82" t="s">
        <v>321</v>
      </c>
      <c r="Z96" s="82"/>
      <c r="AA96" s="82"/>
    </row>
    <row r="97" spans="1:27" ht="30" hidden="1" x14ac:dyDescent="0.25">
      <c r="A97" s="48">
        <v>53</v>
      </c>
      <c r="B97" s="48" t="s">
        <v>50</v>
      </c>
      <c r="C97" s="48" t="s">
        <v>68</v>
      </c>
      <c r="D97" s="48" t="s">
        <v>281</v>
      </c>
      <c r="E97" s="80" t="s">
        <v>36</v>
      </c>
      <c r="F97" s="80" t="str">
        <f>CONCATENATE(Table42[[#This Row],[Part]]," ",Table42[[#This Row],[Status]])</f>
        <v>2.4 Customization by end user or administrator Not Checked</v>
      </c>
      <c r="G97" s="81"/>
      <c r="H97" s="82"/>
      <c r="I97" s="82"/>
      <c r="J97" s="82"/>
      <c r="K97" s="82" t="s">
        <v>122</v>
      </c>
      <c r="L97" s="82" t="s">
        <v>122</v>
      </c>
      <c r="M97" s="82"/>
      <c r="N97" s="82"/>
      <c r="O97" s="82"/>
      <c r="P97" s="82"/>
      <c r="Q97" s="82"/>
      <c r="R97" s="82"/>
      <c r="S97" s="82" t="s">
        <v>122</v>
      </c>
      <c r="T97" s="82" t="s">
        <v>122</v>
      </c>
      <c r="U97" s="82"/>
      <c r="V97" s="82"/>
      <c r="W97" s="82"/>
      <c r="X97" s="82"/>
      <c r="Y97" s="82"/>
      <c r="Z97" s="82"/>
      <c r="AA97" s="82"/>
    </row>
    <row r="98" spans="1:27" ht="30" x14ac:dyDescent="0.25">
      <c r="A98" s="48">
        <v>121</v>
      </c>
      <c r="B98" s="48" t="s">
        <v>195</v>
      </c>
      <c r="C98" s="48" t="s">
        <v>162</v>
      </c>
      <c r="D98" s="94" t="s">
        <v>281</v>
      </c>
      <c r="E98" s="80" t="s">
        <v>36</v>
      </c>
      <c r="F98" s="80" t="str">
        <f>CONCATENATE(Table42[[#This Row],[Part]]," ",Table42[[#This Row],[Status]])</f>
        <v>Section 2 - 4 Customization by end user or administrator Not Checked</v>
      </c>
      <c r="G98" s="81"/>
      <c r="H98" s="82"/>
      <c r="I98" s="82"/>
      <c r="J98" s="82"/>
      <c r="K98" s="82" t="s">
        <v>122</v>
      </c>
      <c r="L98" s="82" t="s">
        <v>122</v>
      </c>
      <c r="M98" s="82"/>
      <c r="N98" s="82"/>
      <c r="O98" s="82"/>
      <c r="P98" s="82"/>
      <c r="Q98" s="82"/>
      <c r="R98" s="82"/>
      <c r="S98" s="82"/>
      <c r="T98" s="82"/>
      <c r="U98" s="82" t="s">
        <v>122</v>
      </c>
      <c r="V98" s="82" t="s">
        <v>122</v>
      </c>
      <c r="W98" s="82" t="s">
        <v>322</v>
      </c>
      <c r="X98" s="82" t="s">
        <v>331</v>
      </c>
      <c r="Y98" s="82"/>
      <c r="Z98" s="82"/>
      <c r="AA98" s="82"/>
    </row>
    <row r="99" spans="1:27" ht="60" hidden="1" x14ac:dyDescent="0.25">
      <c r="A99" s="48">
        <v>54</v>
      </c>
      <c r="B99" s="48" t="s">
        <v>50</v>
      </c>
      <c r="C99" s="48" t="s">
        <v>68</v>
      </c>
      <c r="D99" s="48" t="s">
        <v>282</v>
      </c>
      <c r="E99" s="80" t="s">
        <v>36</v>
      </c>
      <c r="F99" s="80" t="str">
        <f>CONCATENATE(Table42[[#This Row],[Part]]," ",Table42[[#This Row],[Status]])</f>
        <v>2.4 Customization by end user or administrator Not Checked</v>
      </c>
      <c r="G99" s="81"/>
      <c r="H99" s="82" t="s">
        <v>122</v>
      </c>
      <c r="I99" s="82"/>
      <c r="J99" s="82"/>
      <c r="K99" s="82" t="s">
        <v>122</v>
      </c>
      <c r="L99" s="82" t="s">
        <v>122</v>
      </c>
      <c r="M99" s="82"/>
      <c r="N99" s="82"/>
      <c r="O99" s="82"/>
      <c r="P99" s="82"/>
      <c r="Q99" s="82"/>
      <c r="R99" s="82"/>
      <c r="S99" s="82" t="s">
        <v>122</v>
      </c>
      <c r="T99" s="82" t="s">
        <v>122</v>
      </c>
      <c r="U99" s="82"/>
      <c r="V99" s="82"/>
      <c r="W99" s="82"/>
      <c r="X99" s="82"/>
      <c r="Y99" s="82"/>
      <c r="Z99" s="82"/>
      <c r="AA99" s="82"/>
    </row>
    <row r="100" spans="1:27" ht="60" x14ac:dyDescent="0.25">
      <c r="A100" s="48">
        <v>121</v>
      </c>
      <c r="B100" s="48" t="s">
        <v>195</v>
      </c>
      <c r="C100" s="48" t="s">
        <v>162</v>
      </c>
      <c r="D100" s="94" t="s">
        <v>282</v>
      </c>
      <c r="E100" s="80" t="s">
        <v>36</v>
      </c>
      <c r="F100" s="80" t="str">
        <f>CONCATENATE(Table42[[#This Row],[Part]]," ",Table42[[#This Row],[Status]])</f>
        <v>Section 2 - 4 Customization by end user or administrator Not Checked</v>
      </c>
      <c r="G100" s="81"/>
      <c r="H100" s="82" t="s">
        <v>122</v>
      </c>
      <c r="I100" s="82"/>
      <c r="J100" s="82"/>
      <c r="K100" s="82" t="s">
        <v>122</v>
      </c>
      <c r="L100" s="82" t="s">
        <v>122</v>
      </c>
      <c r="M100" s="82"/>
      <c r="N100" s="82"/>
      <c r="O100" s="82"/>
      <c r="P100" s="82"/>
      <c r="Q100" s="82"/>
      <c r="R100" s="82"/>
      <c r="S100" s="82"/>
      <c r="T100" s="82"/>
      <c r="U100" s="82" t="s">
        <v>122</v>
      </c>
      <c r="V100" s="82" t="s">
        <v>122</v>
      </c>
      <c r="W100" s="82" t="s">
        <v>322</v>
      </c>
      <c r="X100" s="82" t="s">
        <v>330</v>
      </c>
      <c r="Y100" s="82"/>
      <c r="Z100" s="82"/>
      <c r="AA100" s="82"/>
    </row>
    <row r="101" spans="1:27" ht="30" hidden="1" x14ac:dyDescent="0.25">
      <c r="A101" s="48">
        <v>55</v>
      </c>
      <c r="B101" s="48" t="s">
        <v>50</v>
      </c>
      <c r="C101" s="48" t="s">
        <v>68</v>
      </c>
      <c r="D101" s="48" t="s">
        <v>97</v>
      </c>
      <c r="E101" s="80" t="s">
        <v>36</v>
      </c>
      <c r="F101" s="80" t="str">
        <f>CONCATENATE(Table42[[#This Row],[Part]]," ",Table42[[#This Row],[Status]])</f>
        <v>2.4 Customization by end user or administrator Not Checked</v>
      </c>
      <c r="G101" s="81"/>
      <c r="H101" s="82"/>
      <c r="I101" s="82"/>
      <c r="J101" s="82"/>
      <c r="K101" s="82" t="s">
        <v>122</v>
      </c>
      <c r="L101" s="82" t="s">
        <v>122</v>
      </c>
      <c r="M101" s="82"/>
      <c r="N101" s="82"/>
      <c r="O101" s="82"/>
      <c r="P101" s="82"/>
      <c r="Q101" s="82"/>
      <c r="R101" s="82"/>
      <c r="S101" s="82" t="s">
        <v>122</v>
      </c>
      <c r="T101" s="82" t="s">
        <v>122</v>
      </c>
      <c r="U101" s="82"/>
      <c r="V101" s="82"/>
      <c r="W101" s="82"/>
      <c r="X101" s="82"/>
      <c r="Y101" s="82"/>
      <c r="Z101" s="82"/>
      <c r="AA101" s="82"/>
    </row>
    <row r="102" spans="1:27" ht="30" x14ac:dyDescent="0.25">
      <c r="A102" s="48">
        <v>121</v>
      </c>
      <c r="B102" s="48" t="s">
        <v>195</v>
      </c>
      <c r="C102" s="48" t="s">
        <v>162</v>
      </c>
      <c r="D102" s="94" t="s">
        <v>97</v>
      </c>
      <c r="E102" s="80" t="s">
        <v>36</v>
      </c>
      <c r="F102" s="80" t="str">
        <f>CONCATENATE(Table42[[#This Row],[Part]]," ",Table42[[#This Row],[Status]])</f>
        <v>Section 2 - 4 Customization by end user or administrator Not Checked</v>
      </c>
      <c r="G102" s="81"/>
      <c r="H102" s="82"/>
      <c r="I102" s="82"/>
      <c r="J102" s="82"/>
      <c r="K102" s="82" t="s">
        <v>122</v>
      </c>
      <c r="L102" s="82" t="s">
        <v>122</v>
      </c>
      <c r="M102" s="82"/>
      <c r="N102" s="82"/>
      <c r="O102" s="82"/>
      <c r="P102" s="82"/>
      <c r="Q102" s="82"/>
      <c r="R102" s="82"/>
      <c r="S102" s="82"/>
      <c r="T102" s="82"/>
      <c r="U102" s="82" t="s">
        <v>122</v>
      </c>
      <c r="V102" s="82" t="s">
        <v>122</v>
      </c>
      <c r="W102" s="82" t="s">
        <v>322</v>
      </c>
      <c r="X102" s="82" t="s">
        <v>330</v>
      </c>
      <c r="Y102" s="82"/>
      <c r="Z102" s="82"/>
      <c r="AA102" s="82"/>
    </row>
    <row r="103" spans="1:27" ht="45" hidden="1" x14ac:dyDescent="0.25">
      <c r="A103" s="48">
        <v>56</v>
      </c>
      <c r="B103" s="48" t="s">
        <v>50</v>
      </c>
      <c r="C103" s="48" t="s">
        <v>69</v>
      </c>
      <c r="D103" s="48" t="s">
        <v>229</v>
      </c>
      <c r="E103" s="80" t="s">
        <v>36</v>
      </c>
      <c r="F103" s="80" t="str">
        <f>CONCATENATE(Table42[[#This Row],[Part]]," ",Table42[[#This Row],[Status]])</f>
        <v>2.5 Programming Interface Not Checked</v>
      </c>
      <c r="G103" s="81" t="s">
        <v>122</v>
      </c>
      <c r="H103" s="82" t="s">
        <v>122</v>
      </c>
      <c r="I103" s="82" t="s">
        <v>122</v>
      </c>
      <c r="J103" s="82" t="s">
        <v>122</v>
      </c>
      <c r="K103" s="82" t="s">
        <v>122</v>
      </c>
      <c r="L103" s="82" t="s">
        <v>122</v>
      </c>
      <c r="M103" s="82" t="s">
        <v>122</v>
      </c>
      <c r="N103" s="82" t="s">
        <v>122</v>
      </c>
      <c r="O103" s="82" t="s">
        <v>122</v>
      </c>
      <c r="P103" s="82" t="s">
        <v>122</v>
      </c>
      <c r="Q103" s="82" t="s">
        <v>122</v>
      </c>
      <c r="R103" s="82" t="s">
        <v>122</v>
      </c>
      <c r="S103" s="82" t="s">
        <v>122</v>
      </c>
      <c r="T103" s="82" t="s">
        <v>122</v>
      </c>
      <c r="U103" s="82"/>
      <c r="V103" s="82"/>
      <c r="W103" s="82"/>
      <c r="X103" s="82"/>
      <c r="Y103" s="82"/>
      <c r="Z103" s="82"/>
      <c r="AA103" s="82"/>
    </row>
    <row r="104" spans="1:27" ht="45" x14ac:dyDescent="0.25">
      <c r="A104" s="48">
        <v>121</v>
      </c>
      <c r="B104" s="48" t="s">
        <v>195</v>
      </c>
      <c r="C104" s="48" t="s">
        <v>163</v>
      </c>
      <c r="D104" s="94" t="s">
        <v>229</v>
      </c>
      <c r="E104" s="80" t="s">
        <v>36</v>
      </c>
      <c r="F104" s="80" t="str">
        <f>CONCATENATE(Table42[[#This Row],[Part]]," ",Table42[[#This Row],[Status]])</f>
        <v>Section 2 - 5 Programming Interface Not Checked</v>
      </c>
      <c r="G104" s="81" t="s">
        <v>122</v>
      </c>
      <c r="H104" s="82" t="s">
        <v>122</v>
      </c>
      <c r="I104" s="82" t="s">
        <v>122</v>
      </c>
      <c r="J104" s="82" t="s">
        <v>122</v>
      </c>
      <c r="K104" s="82" t="s">
        <v>122</v>
      </c>
      <c r="L104" s="82" t="s">
        <v>122</v>
      </c>
      <c r="M104" s="82" t="s">
        <v>122</v>
      </c>
      <c r="N104" s="82" t="s">
        <v>122</v>
      </c>
      <c r="O104" s="82" t="s">
        <v>122</v>
      </c>
      <c r="P104" s="82" t="s">
        <v>122</v>
      </c>
      <c r="Q104" s="82" t="s">
        <v>122</v>
      </c>
      <c r="R104" s="82" t="s">
        <v>122</v>
      </c>
      <c r="S104" s="82"/>
      <c r="T104" s="82"/>
      <c r="U104" s="82" t="s">
        <v>122</v>
      </c>
      <c r="V104" s="82" t="s">
        <v>122</v>
      </c>
      <c r="W104" s="82" t="s">
        <v>322</v>
      </c>
      <c r="X104" s="82" t="s">
        <v>329</v>
      </c>
      <c r="Y104" s="82"/>
      <c r="Z104" s="82"/>
      <c r="AA104" s="82"/>
    </row>
    <row r="105" spans="1:27" ht="30" hidden="1" x14ac:dyDescent="0.25">
      <c r="A105" s="48">
        <v>59</v>
      </c>
      <c r="B105" s="48" t="s">
        <v>50</v>
      </c>
      <c r="C105" s="48" t="s">
        <v>72</v>
      </c>
      <c r="D105" s="48" t="s">
        <v>230</v>
      </c>
      <c r="E105" s="80" t="s">
        <v>36</v>
      </c>
      <c r="F105" s="80" t="str">
        <f>CONCATENATE(Table42[[#This Row],[Part]]," ",Table42[[#This Row],[Status]])</f>
        <v>2.6 Performance, Capacity and Scalability (PCS) Not Checked</v>
      </c>
      <c r="G105" s="81" t="s">
        <v>122</v>
      </c>
      <c r="H105" s="82" t="s">
        <v>122</v>
      </c>
      <c r="I105" s="82" t="s">
        <v>122</v>
      </c>
      <c r="J105" s="82" t="s">
        <v>122</v>
      </c>
      <c r="K105" s="82" t="s">
        <v>122</v>
      </c>
      <c r="L105" s="82" t="s">
        <v>122</v>
      </c>
      <c r="M105" s="82" t="s">
        <v>122</v>
      </c>
      <c r="N105" s="82" t="s">
        <v>122</v>
      </c>
      <c r="O105" s="82" t="s">
        <v>122</v>
      </c>
      <c r="P105" s="82" t="s">
        <v>122</v>
      </c>
      <c r="Q105" s="82" t="s">
        <v>122</v>
      </c>
      <c r="R105" s="82" t="s">
        <v>122</v>
      </c>
      <c r="S105" s="82" t="s">
        <v>122</v>
      </c>
      <c r="T105" s="82" t="s">
        <v>122</v>
      </c>
      <c r="U105" s="82"/>
      <c r="V105" s="82"/>
      <c r="W105" s="82"/>
      <c r="X105" s="82"/>
      <c r="Y105" s="82"/>
      <c r="Z105" s="82"/>
      <c r="AA105" s="82"/>
    </row>
    <row r="106" spans="1:27" ht="30" hidden="1" x14ac:dyDescent="0.25">
      <c r="A106" s="48">
        <v>62</v>
      </c>
      <c r="B106" s="48" t="s">
        <v>50</v>
      </c>
      <c r="C106" s="48" t="s">
        <v>72</v>
      </c>
      <c r="D106" s="48" t="s">
        <v>248</v>
      </c>
      <c r="E106" s="80" t="s">
        <v>36</v>
      </c>
      <c r="F106" s="80" t="str">
        <f>CONCATENATE(Table42[[#This Row],[Part]]," ",Table42[[#This Row],[Status]])</f>
        <v>2.6 Performance, Capacity and Scalability (PCS) Not Checked</v>
      </c>
      <c r="G106" s="81"/>
      <c r="H106" s="82"/>
      <c r="I106" s="82"/>
      <c r="J106" s="82" t="s">
        <v>122</v>
      </c>
      <c r="K106" s="82" t="s">
        <v>122</v>
      </c>
      <c r="L106" s="82" t="s">
        <v>122</v>
      </c>
      <c r="M106" s="82"/>
      <c r="N106" s="82"/>
      <c r="O106" s="82"/>
      <c r="P106" s="82"/>
      <c r="Q106" s="82"/>
      <c r="R106" s="82"/>
      <c r="S106" s="82" t="s">
        <v>122</v>
      </c>
      <c r="T106" s="82" t="s">
        <v>122</v>
      </c>
      <c r="U106" s="82"/>
      <c r="V106" s="82"/>
      <c r="W106" s="82"/>
      <c r="X106" s="82"/>
      <c r="Y106" s="82"/>
      <c r="Z106" s="82"/>
      <c r="AA106" s="82"/>
    </row>
    <row r="107" spans="1:27" hidden="1" x14ac:dyDescent="0.25">
      <c r="A107" s="48">
        <v>63</v>
      </c>
      <c r="B107" s="48" t="s">
        <v>50</v>
      </c>
      <c r="C107" s="48" t="s">
        <v>72</v>
      </c>
      <c r="D107" s="48" t="s">
        <v>41</v>
      </c>
      <c r="E107" s="80" t="s">
        <v>36</v>
      </c>
      <c r="F107" s="80" t="str">
        <f>CONCATENATE(Table42[[#This Row],[Part]]," ",Table42[[#This Row],[Status]])</f>
        <v>2.6 Performance, Capacity and Scalability (PCS) Not Checked</v>
      </c>
      <c r="G107" s="81"/>
      <c r="H107" s="82"/>
      <c r="I107" s="82"/>
      <c r="J107" s="82"/>
      <c r="K107" s="82"/>
      <c r="L107" s="82" t="s">
        <v>122</v>
      </c>
      <c r="M107" s="82"/>
      <c r="N107" s="82"/>
      <c r="O107" s="82"/>
      <c r="P107" s="82"/>
      <c r="Q107" s="82" t="s">
        <v>122</v>
      </c>
      <c r="R107" s="82"/>
      <c r="S107" s="82" t="s">
        <v>122</v>
      </c>
      <c r="T107" s="82" t="s">
        <v>122</v>
      </c>
      <c r="U107" s="82"/>
      <c r="V107" s="82"/>
      <c r="W107" s="82"/>
      <c r="X107" s="82"/>
      <c r="Y107" s="82"/>
      <c r="Z107" s="82"/>
      <c r="AA107" s="82"/>
    </row>
    <row r="108" spans="1:27" ht="30" hidden="1" x14ac:dyDescent="0.25">
      <c r="A108" s="48">
        <v>64</v>
      </c>
      <c r="B108" s="48" t="s">
        <v>50</v>
      </c>
      <c r="C108" s="48" t="s">
        <v>72</v>
      </c>
      <c r="D108" s="48" t="s">
        <v>93</v>
      </c>
      <c r="E108" s="80" t="s">
        <v>36</v>
      </c>
      <c r="F108" s="80" t="str">
        <f>CONCATENATE(Table42[[#This Row],[Part]]," ",Table42[[#This Row],[Status]])</f>
        <v>2.6 Performance, Capacity and Scalability (PCS) Not Checked</v>
      </c>
      <c r="G108" s="81"/>
      <c r="H108" s="82"/>
      <c r="I108" s="82"/>
      <c r="J108" s="82"/>
      <c r="K108" s="82"/>
      <c r="L108" s="82" t="s">
        <v>122</v>
      </c>
      <c r="M108" s="82"/>
      <c r="N108" s="82"/>
      <c r="O108" s="82"/>
      <c r="P108" s="82"/>
      <c r="Q108" s="82"/>
      <c r="R108" s="82"/>
      <c r="S108" s="82" t="s">
        <v>122</v>
      </c>
      <c r="T108" s="82" t="s">
        <v>122</v>
      </c>
      <c r="U108" s="82"/>
      <c r="V108" s="82"/>
      <c r="W108" s="82"/>
      <c r="X108" s="82"/>
      <c r="Y108" s="82"/>
      <c r="Z108" s="82"/>
      <c r="AA108" s="82"/>
    </row>
    <row r="109" spans="1:27" hidden="1" x14ac:dyDescent="0.25">
      <c r="A109" s="48">
        <v>65</v>
      </c>
      <c r="B109" s="48" t="s">
        <v>50</v>
      </c>
      <c r="C109" s="48" t="s">
        <v>72</v>
      </c>
      <c r="D109" s="48" t="s">
        <v>42</v>
      </c>
      <c r="E109" s="80" t="s">
        <v>36</v>
      </c>
      <c r="F109" s="80" t="str">
        <f>CONCATENATE(Table42[[#This Row],[Part]]," ",Table42[[#This Row],[Status]])</f>
        <v>2.6 Performance, Capacity and Scalability (PCS) Not Checked</v>
      </c>
      <c r="G109" s="81"/>
      <c r="H109" s="82"/>
      <c r="I109" s="82"/>
      <c r="J109" s="82"/>
      <c r="K109" s="82"/>
      <c r="L109" s="82" t="s">
        <v>122</v>
      </c>
      <c r="M109" s="82"/>
      <c r="N109" s="82"/>
      <c r="O109" s="82"/>
      <c r="P109" s="82"/>
      <c r="Q109" s="82" t="s">
        <v>122</v>
      </c>
      <c r="R109" s="82"/>
      <c r="S109" s="82" t="s">
        <v>122</v>
      </c>
      <c r="T109" s="82" t="s">
        <v>122</v>
      </c>
      <c r="U109" s="82"/>
      <c r="V109" s="82"/>
      <c r="W109" s="82"/>
      <c r="X109" s="82"/>
      <c r="Y109" s="82"/>
      <c r="Z109" s="82"/>
      <c r="AA109" s="82"/>
    </row>
    <row r="110" spans="1:27" ht="45" hidden="1" x14ac:dyDescent="0.25">
      <c r="A110" s="48">
        <v>67</v>
      </c>
      <c r="B110" s="48" t="s">
        <v>50</v>
      </c>
      <c r="C110" s="48" t="s">
        <v>73</v>
      </c>
      <c r="D110" s="48" t="s">
        <v>223</v>
      </c>
      <c r="E110" s="80" t="s">
        <v>36</v>
      </c>
      <c r="F110" s="80" t="str">
        <f>CONCATENATE(Table42[[#This Row],[Part]]," ",Table42[[#This Row],[Status]])</f>
        <v>2.7 Schema or other changes impacting multi-release compatibility Not Checked</v>
      </c>
      <c r="G110" s="81" t="s">
        <v>122</v>
      </c>
      <c r="H110" s="82" t="s">
        <v>122</v>
      </c>
      <c r="I110" s="82" t="s">
        <v>122</v>
      </c>
      <c r="J110" s="82" t="s">
        <v>122</v>
      </c>
      <c r="K110" s="82" t="s">
        <v>122</v>
      </c>
      <c r="L110" s="82" t="s">
        <v>122</v>
      </c>
      <c r="M110" s="82" t="s">
        <v>122</v>
      </c>
      <c r="N110" s="82" t="s">
        <v>122</v>
      </c>
      <c r="O110" s="82" t="s">
        <v>122</v>
      </c>
      <c r="P110" s="82" t="s">
        <v>122</v>
      </c>
      <c r="Q110" s="82" t="s">
        <v>122</v>
      </c>
      <c r="R110" s="82" t="s">
        <v>122</v>
      </c>
      <c r="S110" s="82" t="s">
        <v>122</v>
      </c>
      <c r="T110" s="82" t="s">
        <v>122</v>
      </c>
      <c r="U110" s="82"/>
      <c r="V110" s="82"/>
      <c r="W110" s="82"/>
      <c r="X110" s="82"/>
      <c r="Y110" s="82"/>
      <c r="Z110" s="82"/>
      <c r="AA110" s="82"/>
    </row>
    <row r="111" spans="1:27" ht="30" hidden="1" x14ac:dyDescent="0.25">
      <c r="A111" s="48">
        <v>70</v>
      </c>
      <c r="B111" s="48" t="s">
        <v>50</v>
      </c>
      <c r="C111" s="48" t="s">
        <v>73</v>
      </c>
      <c r="D111" s="48" t="s">
        <v>246</v>
      </c>
      <c r="E111" s="80" t="s">
        <v>36</v>
      </c>
      <c r="F111" s="80" t="str">
        <f>CONCATENATE(Table42[[#This Row],[Part]]," ",Table42[[#This Row],[Status]])</f>
        <v>2.7 Schema or other changes impacting multi-release compatibility Not Checked</v>
      </c>
      <c r="G111" s="81"/>
      <c r="H111" s="82"/>
      <c r="I111" s="82"/>
      <c r="J111" s="82"/>
      <c r="K111" s="82" t="s">
        <v>122</v>
      </c>
      <c r="L111" s="82" t="s">
        <v>122</v>
      </c>
      <c r="M111" s="82"/>
      <c r="N111" s="82"/>
      <c r="O111" s="82"/>
      <c r="P111" s="82"/>
      <c r="Q111" s="82" t="s">
        <v>122</v>
      </c>
      <c r="R111" s="82"/>
      <c r="S111" s="82" t="s">
        <v>122</v>
      </c>
      <c r="T111" s="82" t="s">
        <v>122</v>
      </c>
      <c r="U111" s="82"/>
      <c r="V111" s="82"/>
      <c r="W111" s="82"/>
      <c r="X111" s="82"/>
      <c r="Y111" s="82"/>
      <c r="Z111" s="82"/>
      <c r="AA111" s="82"/>
    </row>
    <row r="112" spans="1:27" ht="30" hidden="1" x14ac:dyDescent="0.25">
      <c r="A112" s="48">
        <v>71</v>
      </c>
      <c r="B112" s="48" t="s">
        <v>50</v>
      </c>
      <c r="C112" s="48" t="s">
        <v>73</v>
      </c>
      <c r="D112" s="48" t="s">
        <v>247</v>
      </c>
      <c r="E112" s="80" t="s">
        <v>36</v>
      </c>
      <c r="F112" s="80" t="str">
        <f>CONCATENATE(Table42[[#This Row],[Part]]," ",Table42[[#This Row],[Status]])</f>
        <v>2.7 Schema or other changes impacting multi-release compatibility Not Checked</v>
      </c>
      <c r="G112" s="81"/>
      <c r="H112" s="82"/>
      <c r="I112" s="82"/>
      <c r="J112" s="82"/>
      <c r="K112" s="82" t="s">
        <v>122</v>
      </c>
      <c r="L112" s="82" t="s">
        <v>122</v>
      </c>
      <c r="M112" s="82"/>
      <c r="N112" s="82"/>
      <c r="O112" s="82"/>
      <c r="P112" s="82"/>
      <c r="Q112" s="82"/>
      <c r="R112" s="82"/>
      <c r="S112" s="82" t="s">
        <v>122</v>
      </c>
      <c r="T112" s="82" t="s">
        <v>122</v>
      </c>
      <c r="U112" s="82"/>
      <c r="V112" s="82"/>
      <c r="W112" s="82"/>
      <c r="X112" s="82"/>
      <c r="Y112" s="82"/>
      <c r="Z112" s="82"/>
      <c r="AA112" s="82"/>
    </row>
    <row r="113" spans="1:27" ht="30" hidden="1" x14ac:dyDescent="0.25">
      <c r="A113" s="48">
        <v>72</v>
      </c>
      <c r="B113" s="48" t="s">
        <v>50</v>
      </c>
      <c r="C113" s="48" t="s">
        <v>74</v>
      </c>
      <c r="D113" s="48" t="s">
        <v>283</v>
      </c>
      <c r="E113" s="80" t="s">
        <v>36</v>
      </c>
      <c r="F113" s="80" t="str">
        <f>CONCATENATE(Table42[[#This Row],[Part]]," ",Table42[[#This Row],[Status]])</f>
        <v>2.8 Security Controls Not Checked</v>
      </c>
      <c r="G113" s="81" t="s">
        <v>122</v>
      </c>
      <c r="H113" s="82" t="s">
        <v>122</v>
      </c>
      <c r="I113" s="82" t="s">
        <v>122</v>
      </c>
      <c r="J113" s="82" t="s">
        <v>122</v>
      </c>
      <c r="K113" s="82" t="s">
        <v>122</v>
      </c>
      <c r="L113" s="82" t="s">
        <v>122</v>
      </c>
      <c r="M113" s="82" t="s">
        <v>122</v>
      </c>
      <c r="N113" s="82" t="s">
        <v>122</v>
      </c>
      <c r="O113" s="82" t="s">
        <v>122</v>
      </c>
      <c r="P113" s="82" t="s">
        <v>122</v>
      </c>
      <c r="Q113" s="82" t="s">
        <v>122</v>
      </c>
      <c r="R113" s="82" t="s">
        <v>122</v>
      </c>
      <c r="S113" s="82" t="s">
        <v>122</v>
      </c>
      <c r="T113" s="82" t="s">
        <v>122</v>
      </c>
      <c r="U113" s="82"/>
      <c r="V113" s="82"/>
      <c r="W113" s="82"/>
      <c r="X113" s="82"/>
      <c r="Y113" s="82"/>
      <c r="Z113" s="82"/>
      <c r="AA113" s="82"/>
    </row>
    <row r="114" spans="1:27" hidden="1" x14ac:dyDescent="0.25">
      <c r="A114" s="48">
        <v>73</v>
      </c>
      <c r="B114" s="48" t="s">
        <v>59</v>
      </c>
      <c r="C114" s="48" t="s">
        <v>59</v>
      </c>
      <c r="D114" s="48" t="s">
        <v>210</v>
      </c>
      <c r="E114" s="80" t="s">
        <v>36</v>
      </c>
      <c r="F114" s="80" t="str">
        <f>CONCATENATE(Table42[[#This Row],[Part]]," ",Table42[[#This Row],[Status]])</f>
        <v>3. Detailed Limitations Not Checked</v>
      </c>
      <c r="G114" s="81" t="s">
        <v>122</v>
      </c>
      <c r="H114" s="82" t="s">
        <v>122</v>
      </c>
      <c r="I114" s="82" t="s">
        <v>122</v>
      </c>
      <c r="J114" s="82" t="s">
        <v>122</v>
      </c>
      <c r="K114" s="82" t="s">
        <v>122</v>
      </c>
      <c r="L114" s="82" t="s">
        <v>122</v>
      </c>
      <c r="M114" s="82" t="s">
        <v>122</v>
      </c>
      <c r="N114" s="82" t="s">
        <v>122</v>
      </c>
      <c r="O114" s="82" t="s">
        <v>122</v>
      </c>
      <c r="P114" s="82" t="s">
        <v>122</v>
      </c>
      <c r="Q114" s="82" t="s">
        <v>122</v>
      </c>
      <c r="R114" s="82" t="s">
        <v>122</v>
      </c>
      <c r="S114" s="82" t="s">
        <v>122</v>
      </c>
      <c r="T114" s="82" t="s">
        <v>122</v>
      </c>
      <c r="U114" s="82"/>
      <c r="V114" s="82"/>
      <c r="W114" s="82"/>
      <c r="X114" s="82"/>
      <c r="Y114" s="82"/>
      <c r="Z114" s="82"/>
      <c r="AA114" s="82"/>
    </row>
    <row r="115" spans="1:27" ht="30" hidden="1" x14ac:dyDescent="0.25">
      <c r="A115" s="48">
        <v>74</v>
      </c>
      <c r="B115" s="48" t="s">
        <v>59</v>
      </c>
      <c r="C115" s="48" t="s">
        <v>59</v>
      </c>
      <c r="D115" s="48" t="s">
        <v>266</v>
      </c>
      <c r="E115" s="80" t="s">
        <v>36</v>
      </c>
      <c r="F115" s="80" t="str">
        <f>CONCATENATE(Table42[[#This Row],[Part]]," ",Table42[[#This Row],[Status]])</f>
        <v>3. Detailed Limitations Not Checked</v>
      </c>
      <c r="G115" s="81"/>
      <c r="H115" s="82"/>
      <c r="I115" s="82"/>
      <c r="J115" s="82"/>
      <c r="K115" s="82"/>
      <c r="L115" s="82" t="s">
        <v>122</v>
      </c>
      <c r="M115" s="82"/>
      <c r="N115" s="82"/>
      <c r="O115" s="82"/>
      <c r="P115" s="82"/>
      <c r="Q115" s="82"/>
      <c r="R115" s="82"/>
      <c r="S115" s="82" t="s">
        <v>122</v>
      </c>
      <c r="T115" s="82" t="s">
        <v>122</v>
      </c>
      <c r="U115" s="82"/>
      <c r="V115" s="82"/>
      <c r="W115" s="82"/>
      <c r="X115" s="82"/>
      <c r="Y115" s="82"/>
      <c r="Z115" s="82"/>
      <c r="AA115" s="82"/>
    </row>
    <row r="116" spans="1:27" ht="30" hidden="1" x14ac:dyDescent="0.25">
      <c r="A116" s="48">
        <v>75</v>
      </c>
      <c r="B116" s="48" t="s">
        <v>59</v>
      </c>
      <c r="C116" s="48" t="s">
        <v>59</v>
      </c>
      <c r="D116" s="48" t="s">
        <v>266</v>
      </c>
      <c r="E116" s="80" t="s">
        <v>36</v>
      </c>
      <c r="F116" s="80" t="str">
        <f>CONCATENATE(Table42[[#This Row],[Part]]," ",Table42[[#This Row],[Status]])</f>
        <v>3. Detailed Limitations Not Checked</v>
      </c>
      <c r="G116" s="81"/>
      <c r="H116" s="82"/>
      <c r="I116" s="82"/>
      <c r="J116" s="82"/>
      <c r="K116" s="82" t="s">
        <v>122</v>
      </c>
      <c r="L116" s="82" t="s">
        <v>122</v>
      </c>
      <c r="M116" s="82"/>
      <c r="N116" s="82"/>
      <c r="O116" s="82"/>
      <c r="P116" s="82"/>
      <c r="Q116" s="82"/>
      <c r="R116" s="82"/>
      <c r="S116" s="82" t="s">
        <v>122</v>
      </c>
      <c r="T116" s="82" t="s">
        <v>122</v>
      </c>
      <c r="U116" s="82"/>
      <c r="V116" s="82"/>
      <c r="W116" s="82"/>
      <c r="X116" s="82"/>
      <c r="Y116" s="82"/>
      <c r="Z116" s="82"/>
      <c r="AA116" s="82"/>
    </row>
    <row r="117" spans="1:27" hidden="1" x14ac:dyDescent="0.25">
      <c r="A117" s="48">
        <v>76</v>
      </c>
      <c r="B117" s="48" t="s">
        <v>59</v>
      </c>
      <c r="C117" s="48" t="s">
        <v>59</v>
      </c>
      <c r="D117" s="48" t="s">
        <v>44</v>
      </c>
      <c r="E117" s="80" t="s">
        <v>36</v>
      </c>
      <c r="F117" s="80" t="str">
        <f>CONCATENATE(Table42[[#This Row],[Part]]," ",Table42[[#This Row],[Status]])</f>
        <v>3. Detailed Limitations Not Checked</v>
      </c>
      <c r="G117" s="81"/>
      <c r="H117" s="82"/>
      <c r="I117" s="82"/>
      <c r="J117" s="82"/>
      <c r="K117" s="82"/>
      <c r="L117" s="82" t="s">
        <v>122</v>
      </c>
      <c r="M117" s="82"/>
      <c r="N117" s="82"/>
      <c r="O117" s="82"/>
      <c r="P117" s="82"/>
      <c r="Q117" s="82" t="s">
        <v>122</v>
      </c>
      <c r="R117" s="82"/>
      <c r="S117" s="82" t="s">
        <v>122</v>
      </c>
      <c r="T117" s="82" t="s">
        <v>122</v>
      </c>
      <c r="U117" s="82"/>
      <c r="V117" s="82"/>
      <c r="W117" s="82"/>
      <c r="X117" s="82"/>
      <c r="Y117" s="82"/>
      <c r="Z117" s="82"/>
      <c r="AA117" s="82"/>
    </row>
    <row r="118" spans="1:27" ht="30" hidden="1" x14ac:dyDescent="0.25">
      <c r="A118" s="48">
        <v>79</v>
      </c>
      <c r="B118" s="48" t="s">
        <v>59</v>
      </c>
      <c r="C118" s="48" t="s">
        <v>59</v>
      </c>
      <c r="D118" s="48" t="s">
        <v>250</v>
      </c>
      <c r="E118" s="80" t="s">
        <v>36</v>
      </c>
      <c r="F118" s="80" t="str">
        <f>CONCATENATE(Table42[[#This Row],[Part]]," ",Table42[[#This Row],[Status]])</f>
        <v>3. Detailed Limitations Not Checked</v>
      </c>
      <c r="G118" s="81"/>
      <c r="H118" s="82"/>
      <c r="I118" s="82"/>
      <c r="J118" s="82"/>
      <c r="K118" s="82" t="s">
        <v>122</v>
      </c>
      <c r="L118" s="82" t="s">
        <v>122</v>
      </c>
      <c r="M118" s="82"/>
      <c r="N118" s="82"/>
      <c r="O118" s="82"/>
      <c r="P118" s="82"/>
      <c r="Q118" s="82" t="s">
        <v>122</v>
      </c>
      <c r="R118" s="82"/>
      <c r="S118" s="82" t="s">
        <v>122</v>
      </c>
      <c r="T118" s="82" t="s">
        <v>122</v>
      </c>
      <c r="U118" s="82"/>
      <c r="V118" s="82"/>
      <c r="W118" s="82"/>
      <c r="X118" s="82"/>
      <c r="Y118" s="82"/>
      <c r="Z118" s="82"/>
      <c r="AA118" s="82"/>
    </row>
    <row r="119" spans="1:27" ht="45" hidden="1" x14ac:dyDescent="0.25">
      <c r="A119" s="48">
        <v>81</v>
      </c>
      <c r="B119" s="48" t="s">
        <v>59</v>
      </c>
      <c r="C119" s="48" t="s">
        <v>59</v>
      </c>
      <c r="D119" s="48" t="s">
        <v>98</v>
      </c>
      <c r="E119" s="80" t="s">
        <v>36</v>
      </c>
      <c r="F119" s="80" t="str">
        <f>CONCATENATE(Table42[[#This Row],[Part]]," ",Table42[[#This Row],[Status]])</f>
        <v>3. Detailed Limitations Not Checked</v>
      </c>
      <c r="G119" s="81"/>
      <c r="H119" s="82"/>
      <c r="I119" s="82"/>
      <c r="J119" s="82"/>
      <c r="K119" s="82" t="s">
        <v>122</v>
      </c>
      <c r="L119" s="82"/>
      <c r="M119" s="82"/>
      <c r="N119" s="82"/>
      <c r="O119" s="82"/>
      <c r="P119" s="82"/>
      <c r="Q119" s="82"/>
      <c r="R119" s="82"/>
      <c r="S119" s="82" t="s">
        <v>122</v>
      </c>
      <c r="T119" s="82" t="s">
        <v>122</v>
      </c>
      <c r="U119" s="82"/>
      <c r="V119" s="82"/>
      <c r="W119" s="82"/>
      <c r="X119" s="82"/>
      <c r="Y119" s="82"/>
      <c r="Z119" s="82"/>
      <c r="AA119" s="82"/>
    </row>
    <row r="120" spans="1:27" ht="30" hidden="1" x14ac:dyDescent="0.25">
      <c r="A120" s="48">
        <v>69</v>
      </c>
      <c r="B120" s="48" t="s">
        <v>59</v>
      </c>
      <c r="C120" s="48" t="s">
        <v>59</v>
      </c>
      <c r="D120" s="48" t="s">
        <v>43</v>
      </c>
      <c r="E120" s="80" t="s">
        <v>36</v>
      </c>
      <c r="F120" s="80" t="str">
        <f>CONCATENATE(Table42[[#This Row],[Part]]," ",Table42[[#This Row],[Status]])</f>
        <v>3. Detailed Limitations Not Checked</v>
      </c>
      <c r="G120" s="81"/>
      <c r="H120" s="82"/>
      <c r="I120" s="82"/>
      <c r="J120" s="82"/>
      <c r="K120" s="82" t="s">
        <v>122</v>
      </c>
      <c r="L120" s="82" t="s">
        <v>122</v>
      </c>
      <c r="M120" s="82"/>
      <c r="N120" s="82"/>
      <c r="O120" s="82"/>
      <c r="P120" s="82"/>
      <c r="Q120" s="82"/>
      <c r="R120" s="82"/>
      <c r="S120" s="82" t="s">
        <v>122</v>
      </c>
      <c r="T120" s="82" t="s">
        <v>122</v>
      </c>
      <c r="U120" s="82"/>
      <c r="V120" s="82"/>
      <c r="W120" s="82"/>
      <c r="X120" s="82"/>
      <c r="Y120" s="82"/>
      <c r="Z120" s="82"/>
      <c r="AA120" s="82"/>
    </row>
    <row r="121" spans="1:27" ht="30" hidden="1" x14ac:dyDescent="0.25">
      <c r="A121" s="48">
        <v>78</v>
      </c>
      <c r="B121" s="48" t="s">
        <v>59</v>
      </c>
      <c r="C121" s="48" t="s">
        <v>59</v>
      </c>
      <c r="D121" s="48" t="s">
        <v>259</v>
      </c>
      <c r="E121" s="80" t="s">
        <v>36</v>
      </c>
      <c r="F121" s="80" t="str">
        <f>CONCATENATE(Table42[[#This Row],[Part]]," ",Table42[[#This Row],[Status]])</f>
        <v>3. Detailed Limitations Not Checked</v>
      </c>
      <c r="G121" s="81"/>
      <c r="H121" s="82"/>
      <c r="I121" s="82"/>
      <c r="J121" s="82" t="s">
        <v>122</v>
      </c>
      <c r="K121" s="82" t="s">
        <v>122</v>
      </c>
      <c r="L121" s="82"/>
      <c r="M121" s="82"/>
      <c r="N121" s="82"/>
      <c r="O121" s="82"/>
      <c r="P121" s="82"/>
      <c r="Q121" s="82"/>
      <c r="R121" s="82"/>
      <c r="S121" s="82" t="s">
        <v>122</v>
      </c>
      <c r="T121" s="82" t="s">
        <v>122</v>
      </c>
      <c r="U121" s="82"/>
      <c r="V121" s="82"/>
      <c r="W121" s="82"/>
      <c r="X121" s="82"/>
      <c r="Y121" s="82"/>
      <c r="Z121" s="82"/>
      <c r="AA121" s="82"/>
    </row>
    <row r="122" spans="1:27" ht="45" x14ac:dyDescent="0.25">
      <c r="A122" s="48">
        <v>121</v>
      </c>
      <c r="B122" s="48" t="s">
        <v>190</v>
      </c>
      <c r="C122" s="48" t="s">
        <v>204</v>
      </c>
      <c r="D122" s="91" t="s">
        <v>230</v>
      </c>
      <c r="E122" s="80" t="s">
        <v>36</v>
      </c>
      <c r="F122" s="80" t="str">
        <f>CONCATENATE(Table42[[#This Row],[Part]]," ",Table42[[#This Row],[Status]])</f>
        <v>Section 3 - 1 Performance, capacity and scalability (PCS) Not Checked</v>
      </c>
      <c r="G122" s="81" t="s">
        <v>122</v>
      </c>
      <c r="H122" s="82" t="s">
        <v>122</v>
      </c>
      <c r="I122" s="82" t="s">
        <v>122</v>
      </c>
      <c r="J122" s="82" t="s">
        <v>122</v>
      </c>
      <c r="K122" s="82" t="s">
        <v>122</v>
      </c>
      <c r="L122" s="82" t="s">
        <v>122</v>
      </c>
      <c r="M122" s="82" t="s">
        <v>122</v>
      </c>
      <c r="N122" s="82" t="s">
        <v>122</v>
      </c>
      <c r="O122" s="82" t="s">
        <v>122</v>
      </c>
      <c r="P122" s="82" t="s">
        <v>122</v>
      </c>
      <c r="Q122" s="82" t="s">
        <v>122</v>
      </c>
      <c r="R122" s="82" t="s">
        <v>122</v>
      </c>
      <c r="S122" s="82"/>
      <c r="T122" s="82"/>
      <c r="U122" s="82" t="s">
        <v>122</v>
      </c>
      <c r="V122" s="82" t="s">
        <v>122</v>
      </c>
      <c r="W122" s="82" t="s">
        <v>313</v>
      </c>
      <c r="X122" s="82" t="s">
        <v>339</v>
      </c>
      <c r="Y122" s="82"/>
      <c r="Z122" s="82" t="s">
        <v>313</v>
      </c>
      <c r="AA122" s="82" t="s">
        <v>360</v>
      </c>
    </row>
    <row r="123" spans="1:27" ht="30" x14ac:dyDescent="0.25">
      <c r="A123" s="48">
        <v>121</v>
      </c>
      <c r="B123" s="48" t="s">
        <v>190</v>
      </c>
      <c r="C123" s="48" t="s">
        <v>204</v>
      </c>
      <c r="D123" s="91" t="s">
        <v>248</v>
      </c>
      <c r="E123" s="80" t="s">
        <v>36</v>
      </c>
      <c r="F123" s="80" t="str">
        <f>CONCATENATE(Table42[[#This Row],[Part]]," ",Table42[[#This Row],[Status]])</f>
        <v>Section 3 - 1 Performance, capacity and scalability (PCS) Not Checked</v>
      </c>
      <c r="G123" s="81"/>
      <c r="H123" s="82"/>
      <c r="I123" s="82"/>
      <c r="J123" s="82" t="s">
        <v>122</v>
      </c>
      <c r="K123" s="82" t="s">
        <v>122</v>
      </c>
      <c r="L123" s="82" t="s">
        <v>122</v>
      </c>
      <c r="M123" s="82"/>
      <c r="N123" s="82"/>
      <c r="O123" s="82"/>
      <c r="P123" s="82"/>
      <c r="Q123" s="82"/>
      <c r="R123" s="82"/>
      <c r="S123" s="82"/>
      <c r="T123" s="82"/>
      <c r="U123" s="82" t="s">
        <v>122</v>
      </c>
      <c r="V123" s="82" t="s">
        <v>122</v>
      </c>
      <c r="W123" s="82" t="s">
        <v>313</v>
      </c>
      <c r="X123" s="82"/>
      <c r="Y123" s="82"/>
      <c r="Z123" s="82" t="s">
        <v>322</v>
      </c>
      <c r="AA123" s="82" t="s">
        <v>361</v>
      </c>
    </row>
    <row r="124" spans="1:27" ht="75" x14ac:dyDescent="0.25">
      <c r="A124" s="48">
        <v>121</v>
      </c>
      <c r="B124" s="48" t="s">
        <v>190</v>
      </c>
      <c r="C124" s="48" t="s">
        <v>204</v>
      </c>
      <c r="D124" s="91" t="s">
        <v>231</v>
      </c>
      <c r="E124" s="80" t="s">
        <v>36</v>
      </c>
      <c r="F124" s="80" t="str">
        <f>CONCATENATE(Table42[[#This Row],[Part]]," ",Table42[[#This Row],[Status]])</f>
        <v>Section 3 - 1 Performance, capacity and scalability (PCS) Not Checked</v>
      </c>
      <c r="G124" s="81"/>
      <c r="H124" s="82"/>
      <c r="I124" s="82"/>
      <c r="J124" s="82"/>
      <c r="K124" s="82"/>
      <c r="L124" s="82" t="s">
        <v>122</v>
      </c>
      <c r="M124" s="82"/>
      <c r="N124" s="82"/>
      <c r="O124" s="82"/>
      <c r="P124" s="82"/>
      <c r="Q124" s="82" t="s">
        <v>122</v>
      </c>
      <c r="R124" s="82"/>
      <c r="S124" s="82"/>
      <c r="T124" s="82"/>
      <c r="U124" s="82" t="s">
        <v>122</v>
      </c>
      <c r="V124" s="82" t="s">
        <v>122</v>
      </c>
      <c r="W124" s="82" t="s">
        <v>313</v>
      </c>
      <c r="X124" s="82"/>
      <c r="Y124" s="82"/>
      <c r="Z124" s="82" t="s">
        <v>313</v>
      </c>
      <c r="AA124" s="82" t="s">
        <v>362</v>
      </c>
    </row>
    <row r="125" spans="1:27" ht="45" x14ac:dyDescent="0.25">
      <c r="A125" s="48">
        <v>121</v>
      </c>
      <c r="B125" s="48" t="s">
        <v>190</v>
      </c>
      <c r="C125" s="48" t="s">
        <v>204</v>
      </c>
      <c r="D125" s="91" t="s">
        <v>93</v>
      </c>
      <c r="E125" s="80" t="s">
        <v>36</v>
      </c>
      <c r="F125" s="80" t="str">
        <f>CONCATENATE(Table42[[#This Row],[Part]]," ",Table42[[#This Row],[Status]])</f>
        <v>Section 3 - 1 Performance, capacity and scalability (PCS) Not Checked</v>
      </c>
      <c r="G125" s="81"/>
      <c r="H125" s="82"/>
      <c r="I125" s="82"/>
      <c r="J125" s="82"/>
      <c r="K125" s="82"/>
      <c r="L125" s="82" t="s">
        <v>122</v>
      </c>
      <c r="M125" s="82"/>
      <c r="N125" s="82"/>
      <c r="O125" s="82"/>
      <c r="P125" s="82"/>
      <c r="Q125" s="82"/>
      <c r="R125" s="82"/>
      <c r="S125" s="82"/>
      <c r="T125" s="82"/>
      <c r="U125" s="82" t="s">
        <v>122</v>
      </c>
      <c r="V125" s="82" t="s">
        <v>122</v>
      </c>
      <c r="W125" s="82" t="s">
        <v>313</v>
      </c>
      <c r="X125" s="82" t="s">
        <v>325</v>
      </c>
      <c r="Y125" s="82"/>
      <c r="Z125" s="82" t="s">
        <v>322</v>
      </c>
      <c r="AA125" s="82" t="s">
        <v>363</v>
      </c>
    </row>
    <row r="126" spans="1:27" ht="45" x14ac:dyDescent="0.25">
      <c r="A126" s="48">
        <v>121</v>
      </c>
      <c r="B126" s="48" t="s">
        <v>190</v>
      </c>
      <c r="C126" s="48" t="s">
        <v>204</v>
      </c>
      <c r="D126" s="91" t="s">
        <v>42</v>
      </c>
      <c r="E126" s="80" t="s">
        <v>36</v>
      </c>
      <c r="F126" s="80" t="str">
        <f>CONCATENATE(Table42[[#This Row],[Part]]," ",Table42[[#This Row],[Status]])</f>
        <v>Section 3 - 1 Performance, capacity and scalability (PCS) Not Checked</v>
      </c>
      <c r="G126" s="81"/>
      <c r="H126" s="82"/>
      <c r="I126" s="82"/>
      <c r="J126" s="82"/>
      <c r="K126" s="82"/>
      <c r="L126" s="82" t="s">
        <v>122</v>
      </c>
      <c r="M126" s="82"/>
      <c r="N126" s="82"/>
      <c r="O126" s="82"/>
      <c r="P126" s="82"/>
      <c r="Q126" s="82" t="s">
        <v>122</v>
      </c>
      <c r="R126" s="82"/>
      <c r="S126" s="82"/>
      <c r="T126" s="82"/>
      <c r="U126" s="82" t="s">
        <v>122</v>
      </c>
      <c r="V126" s="82" t="s">
        <v>122</v>
      </c>
      <c r="W126" s="82" t="s">
        <v>313</v>
      </c>
      <c r="X126" s="82"/>
      <c r="Y126" s="82"/>
      <c r="Z126" s="82" t="s">
        <v>322</v>
      </c>
      <c r="AA126" s="82" t="s">
        <v>364</v>
      </c>
    </row>
    <row r="127" spans="1:27" ht="45" x14ac:dyDescent="0.25">
      <c r="A127" s="48">
        <v>121</v>
      </c>
      <c r="B127" s="48" t="s">
        <v>190</v>
      </c>
      <c r="C127" s="48" t="s">
        <v>169</v>
      </c>
      <c r="D127" s="91" t="s">
        <v>249</v>
      </c>
      <c r="E127" s="80" t="s">
        <v>36</v>
      </c>
      <c r="F127" s="80" t="str">
        <f>CONCATENATE(Table42[[#This Row],[Part]]," ",Table42[[#This Row],[Status]])</f>
        <v>Section 3 - 2 Security Controls Not Checked</v>
      </c>
      <c r="G127" s="81" t="s">
        <v>122</v>
      </c>
      <c r="H127" s="82" t="s">
        <v>122</v>
      </c>
      <c r="I127" s="82" t="s">
        <v>122</v>
      </c>
      <c r="J127" s="82" t="s">
        <v>122</v>
      </c>
      <c r="K127" s="82" t="s">
        <v>122</v>
      </c>
      <c r="L127" s="82" t="s">
        <v>122</v>
      </c>
      <c r="M127" s="82" t="s">
        <v>122</v>
      </c>
      <c r="N127" s="82" t="s">
        <v>122</v>
      </c>
      <c r="O127" s="82" t="s">
        <v>122</v>
      </c>
      <c r="P127" s="82" t="s">
        <v>122</v>
      </c>
      <c r="Q127" s="82" t="s">
        <v>122</v>
      </c>
      <c r="R127" s="82" t="s">
        <v>122</v>
      </c>
      <c r="S127" s="82"/>
      <c r="T127" s="82"/>
      <c r="U127" s="82" t="s">
        <v>122</v>
      </c>
      <c r="V127" s="82" t="s">
        <v>122</v>
      </c>
      <c r="W127" s="82" t="s">
        <v>313</v>
      </c>
      <c r="X127" s="82"/>
      <c r="Y127" s="82"/>
      <c r="Z127" s="82" t="s">
        <v>322</v>
      </c>
      <c r="AA127" s="82" t="s">
        <v>365</v>
      </c>
    </row>
    <row r="128" spans="1:27" ht="45" x14ac:dyDescent="0.25">
      <c r="A128" s="48">
        <v>121</v>
      </c>
      <c r="B128" s="48" t="s">
        <v>190</v>
      </c>
      <c r="C128" s="48" t="s">
        <v>174</v>
      </c>
      <c r="D128" s="96" t="s">
        <v>232</v>
      </c>
      <c r="E128" s="80" t="s">
        <v>36</v>
      </c>
      <c r="F128" s="80" t="str">
        <f>CONCATENATE(Table42[[#This Row],[Part]]," ",Table42[[#This Row],[Status]])</f>
        <v>Section 3 - 3 Data privacy Not Checked</v>
      </c>
      <c r="G128" s="81" t="s">
        <v>122</v>
      </c>
      <c r="H128" s="82" t="s">
        <v>122</v>
      </c>
      <c r="I128" s="82" t="s">
        <v>122</v>
      </c>
      <c r="J128" s="82" t="s">
        <v>122</v>
      </c>
      <c r="K128" s="82" t="s">
        <v>122</v>
      </c>
      <c r="L128" s="82" t="s">
        <v>122</v>
      </c>
      <c r="M128" s="82" t="s">
        <v>122</v>
      </c>
      <c r="N128" s="82" t="s">
        <v>122</v>
      </c>
      <c r="O128" s="82" t="s">
        <v>122</v>
      </c>
      <c r="P128" s="82" t="s">
        <v>122</v>
      </c>
      <c r="Q128" s="82" t="s">
        <v>122</v>
      </c>
      <c r="R128" s="82" t="s">
        <v>122</v>
      </c>
      <c r="S128" s="82"/>
      <c r="T128" s="82"/>
      <c r="U128" s="82" t="s">
        <v>122</v>
      </c>
      <c r="V128" s="82" t="s">
        <v>122</v>
      </c>
      <c r="W128" s="82" t="s">
        <v>313</v>
      </c>
      <c r="X128" s="82" t="s">
        <v>326</v>
      </c>
      <c r="Y128" s="82"/>
      <c r="Z128" s="82" t="s">
        <v>313</v>
      </c>
      <c r="AA128" s="82" t="s">
        <v>366</v>
      </c>
    </row>
    <row r="129" spans="1:27" ht="60" hidden="1" x14ac:dyDescent="0.25">
      <c r="A129" s="48">
        <v>172</v>
      </c>
      <c r="B129" s="48" t="s">
        <v>60</v>
      </c>
      <c r="C129" s="48" t="s">
        <v>60</v>
      </c>
      <c r="D129" s="48" t="s">
        <v>261</v>
      </c>
      <c r="E129" s="80" t="s">
        <v>36</v>
      </c>
      <c r="F129" s="80" t="str">
        <f>CONCATENATE(Table42[[#This Row],[Part]]," ",Table42[[#This Row],[Status]])</f>
        <v>4. Acceptance Tests Protocols Not Checked</v>
      </c>
      <c r="G129" s="81" t="s">
        <v>122</v>
      </c>
      <c r="H129" s="82" t="s">
        <v>122</v>
      </c>
      <c r="I129" s="82" t="s">
        <v>122</v>
      </c>
      <c r="J129" s="82" t="s">
        <v>122</v>
      </c>
      <c r="K129" s="82" t="s">
        <v>122</v>
      </c>
      <c r="L129" s="82" t="s">
        <v>122</v>
      </c>
      <c r="M129" s="82" t="s">
        <v>122</v>
      </c>
      <c r="N129" s="82" t="s">
        <v>122</v>
      </c>
      <c r="O129" s="82" t="s">
        <v>122</v>
      </c>
      <c r="P129" s="82" t="s">
        <v>122</v>
      </c>
      <c r="Q129" s="82" t="s">
        <v>122</v>
      </c>
      <c r="R129" s="82" t="s">
        <v>122</v>
      </c>
      <c r="S129" s="82"/>
      <c r="T129" s="82" t="s">
        <v>122</v>
      </c>
      <c r="U129" s="82"/>
      <c r="V129" s="82"/>
      <c r="W129" s="82"/>
      <c r="X129" s="82"/>
      <c r="Y129" s="82"/>
      <c r="Z129" s="82"/>
      <c r="AA129" s="82"/>
    </row>
    <row r="130" spans="1:27" ht="30" x14ac:dyDescent="0.25">
      <c r="A130" s="48">
        <v>121</v>
      </c>
      <c r="B130" s="48" t="s">
        <v>191</v>
      </c>
      <c r="C130" s="48" t="s">
        <v>175</v>
      </c>
      <c r="D130" s="91" t="s">
        <v>233</v>
      </c>
      <c r="E130" s="80" t="s">
        <v>36</v>
      </c>
      <c r="F130" s="80" t="str">
        <f>CONCATENATE(Table42[[#This Row],[Part]]," ",Table42[[#This Row],[Status]])</f>
        <v>Section 4 - 1 Functional Acceptance Test Not Checked</v>
      </c>
      <c r="G130" s="81" t="s">
        <v>122</v>
      </c>
      <c r="H130" s="82" t="s">
        <v>122</v>
      </c>
      <c r="I130" s="82" t="s">
        <v>122</v>
      </c>
      <c r="J130" s="82" t="s">
        <v>122</v>
      </c>
      <c r="K130" s="82" t="s">
        <v>122</v>
      </c>
      <c r="L130" s="82" t="s">
        <v>122</v>
      </c>
      <c r="M130" s="82" t="s">
        <v>122</v>
      </c>
      <c r="N130" s="82" t="s">
        <v>122</v>
      </c>
      <c r="O130" s="82" t="s">
        <v>122</v>
      </c>
      <c r="P130" s="82" t="s">
        <v>122</v>
      </c>
      <c r="Q130" s="82" t="s">
        <v>122</v>
      </c>
      <c r="R130" s="82" t="s">
        <v>122</v>
      </c>
      <c r="S130" s="82"/>
      <c r="T130" s="82"/>
      <c r="U130" s="82" t="s">
        <v>122</v>
      </c>
      <c r="V130" s="82" t="s">
        <v>122</v>
      </c>
      <c r="W130" s="82" t="s">
        <v>313</v>
      </c>
      <c r="X130" s="82"/>
      <c r="Y130" s="82"/>
      <c r="Z130" s="82" t="s">
        <v>313</v>
      </c>
      <c r="AA130" s="82" t="s">
        <v>346</v>
      </c>
    </row>
    <row r="131" spans="1:27" ht="45" x14ac:dyDescent="0.25">
      <c r="A131" s="48">
        <v>121</v>
      </c>
      <c r="B131" s="48" t="s">
        <v>191</v>
      </c>
      <c r="C131" s="48" t="s">
        <v>175</v>
      </c>
      <c r="D131" s="91" t="s">
        <v>284</v>
      </c>
      <c r="E131" s="80" t="s">
        <v>36</v>
      </c>
      <c r="F131" s="80" t="str">
        <f>CONCATENATE(Table42[[#This Row],[Part]]," ",Table42[[#This Row],[Status]])</f>
        <v>Section 4 - 1 Functional Acceptance Test Not Checked</v>
      </c>
      <c r="G131" s="81" t="s">
        <v>122</v>
      </c>
      <c r="H131" s="82" t="s">
        <v>122</v>
      </c>
      <c r="I131" s="82" t="s">
        <v>122</v>
      </c>
      <c r="J131" s="82" t="s">
        <v>122</v>
      </c>
      <c r="K131" s="82" t="s">
        <v>122</v>
      </c>
      <c r="L131" s="82" t="s">
        <v>122</v>
      </c>
      <c r="M131" s="82" t="s">
        <v>122</v>
      </c>
      <c r="N131" s="82" t="s">
        <v>122</v>
      </c>
      <c r="O131" s="82" t="s">
        <v>122</v>
      </c>
      <c r="P131" s="82" t="s">
        <v>122</v>
      </c>
      <c r="Q131" s="82" t="s">
        <v>122</v>
      </c>
      <c r="R131" s="82" t="s">
        <v>122</v>
      </c>
      <c r="S131" s="82"/>
      <c r="T131" s="82"/>
      <c r="U131" s="82" t="s">
        <v>122</v>
      </c>
      <c r="V131" s="82" t="s">
        <v>122</v>
      </c>
      <c r="W131" s="82" t="s">
        <v>313</v>
      </c>
      <c r="X131" s="82" t="s">
        <v>358</v>
      </c>
      <c r="Y131" s="82"/>
      <c r="Z131" s="82" t="s">
        <v>322</v>
      </c>
      <c r="AA131" s="82" t="s">
        <v>347</v>
      </c>
    </row>
    <row r="132" spans="1:27" ht="30" x14ac:dyDescent="0.25">
      <c r="A132" s="48">
        <v>121</v>
      </c>
      <c r="B132" s="48" t="s">
        <v>191</v>
      </c>
      <c r="C132" s="48" t="s">
        <v>175</v>
      </c>
      <c r="D132" s="91" t="s">
        <v>285</v>
      </c>
      <c r="E132" s="80" t="s">
        <v>36</v>
      </c>
      <c r="F132" s="80" t="str">
        <f>CONCATENATE(Table42[[#This Row],[Part]]," ",Table42[[#This Row],[Status]])</f>
        <v>Section 4 - 1 Functional Acceptance Test Not Checked</v>
      </c>
      <c r="G132" s="81" t="s">
        <v>122</v>
      </c>
      <c r="H132" s="82" t="s">
        <v>122</v>
      </c>
      <c r="I132" s="82" t="s">
        <v>122</v>
      </c>
      <c r="J132" s="82" t="s">
        <v>122</v>
      </c>
      <c r="K132" s="82" t="s">
        <v>122</v>
      </c>
      <c r="L132" s="82" t="s">
        <v>122</v>
      </c>
      <c r="M132" s="82" t="s">
        <v>122</v>
      </c>
      <c r="N132" s="82" t="s">
        <v>122</v>
      </c>
      <c r="O132" s="82" t="s">
        <v>122</v>
      </c>
      <c r="P132" s="82" t="s">
        <v>122</v>
      </c>
      <c r="Q132" s="82" t="s">
        <v>122</v>
      </c>
      <c r="R132" s="82" t="s">
        <v>122</v>
      </c>
      <c r="S132" s="82"/>
      <c r="T132" s="82"/>
      <c r="U132" s="82" t="s">
        <v>122</v>
      </c>
      <c r="V132" s="82" t="s">
        <v>122</v>
      </c>
      <c r="W132" s="82" t="s">
        <v>313</v>
      </c>
      <c r="X132" s="82"/>
      <c r="Y132" s="82"/>
      <c r="Z132" s="82" t="s">
        <v>313</v>
      </c>
      <c r="AA132" s="82" t="s">
        <v>348</v>
      </c>
    </row>
    <row r="133" spans="1:27" ht="30" x14ac:dyDescent="0.25">
      <c r="A133" s="48">
        <v>121</v>
      </c>
      <c r="B133" s="48" t="s">
        <v>191</v>
      </c>
      <c r="C133" s="48" t="s">
        <v>175</v>
      </c>
      <c r="D133" s="91" t="s">
        <v>286</v>
      </c>
      <c r="E133" s="80" t="s">
        <v>36</v>
      </c>
      <c r="F133" s="80" t="str">
        <f>CONCATENATE(Table42[[#This Row],[Part]]," ",Table42[[#This Row],[Status]])</f>
        <v>Section 4 - 1 Functional Acceptance Test Not Checked</v>
      </c>
      <c r="G133" s="81"/>
      <c r="H133" s="82" t="s">
        <v>122</v>
      </c>
      <c r="I133" s="82"/>
      <c r="J133" s="82"/>
      <c r="K133" s="82"/>
      <c r="L133" s="82" t="s">
        <v>122</v>
      </c>
      <c r="M133" s="82"/>
      <c r="N133" s="82"/>
      <c r="O133" s="82"/>
      <c r="P133" s="82" t="s">
        <v>122</v>
      </c>
      <c r="Q133" s="82"/>
      <c r="R133" s="82"/>
      <c r="S133" s="82"/>
      <c r="T133" s="82"/>
      <c r="U133" s="82" t="s">
        <v>122</v>
      </c>
      <c r="V133" s="82" t="s">
        <v>122</v>
      </c>
      <c r="W133" s="82" t="s">
        <v>313</v>
      </c>
      <c r="X133" s="82"/>
      <c r="Y133" s="82"/>
      <c r="Z133" s="82" t="s">
        <v>313</v>
      </c>
      <c r="AA133" s="82" t="s">
        <v>349</v>
      </c>
    </row>
    <row r="134" spans="1:27" ht="75" x14ac:dyDescent="0.25">
      <c r="A134" s="48">
        <v>121</v>
      </c>
      <c r="B134" s="48" t="s">
        <v>191</v>
      </c>
      <c r="C134" s="48" t="s">
        <v>175</v>
      </c>
      <c r="D134" s="94" t="s">
        <v>287</v>
      </c>
      <c r="E134" s="80" t="s">
        <v>36</v>
      </c>
      <c r="F134" s="80" t="str">
        <f>CONCATENATE(Table42[[#This Row],[Part]]," ",Table42[[#This Row],[Status]])</f>
        <v>Section 4 - 1 Functional Acceptance Test Not Checked</v>
      </c>
      <c r="G134" s="81" t="s">
        <v>122</v>
      </c>
      <c r="H134" s="82" t="s">
        <v>122</v>
      </c>
      <c r="I134" s="82" t="s">
        <v>122</v>
      </c>
      <c r="J134" s="82" t="s">
        <v>122</v>
      </c>
      <c r="K134" s="82" t="s">
        <v>122</v>
      </c>
      <c r="L134" s="82" t="s">
        <v>122</v>
      </c>
      <c r="M134" s="82" t="s">
        <v>122</v>
      </c>
      <c r="N134" s="82" t="s">
        <v>122</v>
      </c>
      <c r="O134" s="82" t="s">
        <v>122</v>
      </c>
      <c r="P134" s="82" t="s">
        <v>122</v>
      </c>
      <c r="Q134" s="82" t="s">
        <v>122</v>
      </c>
      <c r="R134" s="82" t="s">
        <v>122</v>
      </c>
      <c r="S134" s="82"/>
      <c r="T134" s="82"/>
      <c r="U134" s="82" t="s">
        <v>122</v>
      </c>
      <c r="V134" s="82" t="s">
        <v>122</v>
      </c>
      <c r="W134" s="82" t="s">
        <v>322</v>
      </c>
      <c r="X134" s="82" t="s">
        <v>343</v>
      </c>
      <c r="Y134" s="82" t="s">
        <v>357</v>
      </c>
      <c r="Z134" s="82" t="s">
        <v>322</v>
      </c>
      <c r="AA134" s="82" t="s">
        <v>350</v>
      </c>
    </row>
    <row r="135" spans="1:27" ht="45" x14ac:dyDescent="0.25">
      <c r="A135" s="48">
        <v>121</v>
      </c>
      <c r="B135" s="48" t="s">
        <v>191</v>
      </c>
      <c r="C135" s="48" t="s">
        <v>175</v>
      </c>
      <c r="D135" s="91" t="s">
        <v>260</v>
      </c>
      <c r="E135" s="80" t="s">
        <v>36</v>
      </c>
      <c r="F135" s="80" t="str">
        <f>CONCATENATE(Table42[[#This Row],[Part]]," ",Table42[[#This Row],[Status]])</f>
        <v>Section 4 - 1 Functional Acceptance Test Not Checked</v>
      </c>
      <c r="G135" s="81" t="s">
        <v>122</v>
      </c>
      <c r="H135" s="82" t="s">
        <v>122</v>
      </c>
      <c r="I135" s="82" t="s">
        <v>122</v>
      </c>
      <c r="J135" s="82" t="s">
        <v>122</v>
      </c>
      <c r="K135" s="82" t="s">
        <v>122</v>
      </c>
      <c r="L135" s="82" t="s">
        <v>122</v>
      </c>
      <c r="M135" s="82" t="s">
        <v>122</v>
      </c>
      <c r="N135" s="82" t="s">
        <v>122</v>
      </c>
      <c r="O135" s="82" t="s">
        <v>122</v>
      </c>
      <c r="P135" s="82" t="s">
        <v>122</v>
      </c>
      <c r="Q135" s="82" t="s">
        <v>122</v>
      </c>
      <c r="R135" s="82" t="s">
        <v>122</v>
      </c>
      <c r="S135" s="82"/>
      <c r="T135" s="82"/>
      <c r="U135" s="82" t="s">
        <v>122</v>
      </c>
      <c r="V135" s="82" t="s">
        <v>122</v>
      </c>
      <c r="W135" s="82" t="s">
        <v>313</v>
      </c>
      <c r="X135" s="82"/>
      <c r="Y135" s="82"/>
      <c r="Z135" s="82" t="s">
        <v>313</v>
      </c>
      <c r="AA135" s="82" t="s">
        <v>351</v>
      </c>
    </row>
    <row r="136" spans="1:27" ht="60" hidden="1" x14ac:dyDescent="0.25">
      <c r="A136" s="48">
        <v>82</v>
      </c>
      <c r="B136" s="48" t="s">
        <v>60</v>
      </c>
      <c r="C136" s="48" t="s">
        <v>80</v>
      </c>
      <c r="D136" s="48" t="s">
        <v>261</v>
      </c>
      <c r="E136" s="80" t="s">
        <v>36</v>
      </c>
      <c r="F136" s="80" t="str">
        <f>CONCATENATE(Table42[[#This Row],[Part]]," ",Table42[[#This Row],[Status]])</f>
        <v>4.1 Acceptance Test Not Checked</v>
      </c>
      <c r="G136" s="81" t="s">
        <v>122</v>
      </c>
      <c r="H136" s="82" t="s">
        <v>122</v>
      </c>
      <c r="I136" s="82" t="s">
        <v>122</v>
      </c>
      <c r="J136" s="82" t="s">
        <v>122</v>
      </c>
      <c r="K136" s="82" t="s">
        <v>122</v>
      </c>
      <c r="L136" s="82" t="s">
        <v>122</v>
      </c>
      <c r="M136" s="82" t="s">
        <v>122</v>
      </c>
      <c r="N136" s="82" t="s">
        <v>122</v>
      </c>
      <c r="O136" s="82" t="s">
        <v>122</v>
      </c>
      <c r="P136" s="82" t="s">
        <v>122</v>
      </c>
      <c r="Q136" s="82" t="s">
        <v>122</v>
      </c>
      <c r="R136" s="82" t="s">
        <v>122</v>
      </c>
      <c r="S136" s="82" t="s">
        <v>122</v>
      </c>
      <c r="T136" s="82" t="s">
        <v>122</v>
      </c>
      <c r="U136" s="82"/>
      <c r="V136" s="82"/>
      <c r="W136" s="82"/>
      <c r="X136" s="82"/>
      <c r="Y136" s="82"/>
      <c r="Z136" s="82"/>
      <c r="AA136" s="82"/>
    </row>
    <row r="137" spans="1:27" hidden="1" x14ac:dyDescent="0.25">
      <c r="A137" s="48">
        <v>93</v>
      </c>
      <c r="B137" s="48" t="s">
        <v>60</v>
      </c>
      <c r="C137" s="48" t="s">
        <v>80</v>
      </c>
      <c r="D137" s="48" t="s">
        <v>46</v>
      </c>
      <c r="E137" s="80" t="s">
        <v>36</v>
      </c>
      <c r="F137" s="80" t="str">
        <f>CONCATENATE(Table42[[#This Row],[Part]]," ",Table42[[#This Row],[Status]])</f>
        <v>4.1 Acceptance Test Not Checked</v>
      </c>
      <c r="G137" s="81"/>
      <c r="H137" s="82"/>
      <c r="I137" s="82"/>
      <c r="J137" s="82"/>
      <c r="K137" s="82" t="s">
        <v>122</v>
      </c>
      <c r="L137" s="82" t="s">
        <v>122</v>
      </c>
      <c r="M137" s="82"/>
      <c r="N137" s="82"/>
      <c r="O137" s="82"/>
      <c r="P137" s="82" t="s">
        <v>122</v>
      </c>
      <c r="Q137" s="82"/>
      <c r="R137" s="82"/>
      <c r="S137" s="82" t="s">
        <v>122</v>
      </c>
      <c r="T137" s="82" t="s">
        <v>122</v>
      </c>
      <c r="U137" s="82"/>
      <c r="V137" s="82"/>
      <c r="W137" s="82"/>
      <c r="X137" s="82"/>
      <c r="Y137" s="82"/>
      <c r="Z137" s="82"/>
      <c r="AA137" s="82"/>
    </row>
    <row r="138" spans="1:27" hidden="1" x14ac:dyDescent="0.25">
      <c r="A138" s="48">
        <v>95</v>
      </c>
      <c r="B138" s="48" t="s">
        <v>60</v>
      </c>
      <c r="C138" s="48" t="s">
        <v>80</v>
      </c>
      <c r="D138" s="48" t="s">
        <v>288</v>
      </c>
      <c r="E138" s="80" t="s">
        <v>36</v>
      </c>
      <c r="F138" s="80" t="str">
        <f>CONCATENATE(Table42[[#This Row],[Part]]," ",Table42[[#This Row],[Status]])</f>
        <v>4.1 Acceptance Test Not Checked</v>
      </c>
      <c r="G138" s="81"/>
      <c r="H138" s="82"/>
      <c r="I138" s="82"/>
      <c r="J138" s="82"/>
      <c r="K138" s="82" t="s">
        <v>122</v>
      </c>
      <c r="L138" s="82" t="s">
        <v>122</v>
      </c>
      <c r="M138" s="82"/>
      <c r="N138" s="82"/>
      <c r="O138" s="82"/>
      <c r="P138" s="82" t="s">
        <v>122</v>
      </c>
      <c r="Q138" s="82" t="s">
        <v>122</v>
      </c>
      <c r="R138" s="82"/>
      <c r="S138" s="82" t="s">
        <v>122</v>
      </c>
      <c r="T138" s="82" t="s">
        <v>122</v>
      </c>
      <c r="U138" s="82"/>
      <c r="V138" s="82"/>
      <c r="W138" s="82"/>
      <c r="X138" s="82"/>
      <c r="Y138" s="82"/>
      <c r="Z138" s="82"/>
      <c r="AA138" s="82"/>
    </row>
    <row r="139" spans="1:27" ht="30" x14ac:dyDescent="0.25">
      <c r="A139" s="48">
        <v>121</v>
      </c>
      <c r="B139" s="48" t="s">
        <v>191</v>
      </c>
      <c r="C139" s="48" t="s">
        <v>175</v>
      </c>
      <c r="D139" s="91" t="s">
        <v>147</v>
      </c>
      <c r="E139" s="80" t="s">
        <v>36</v>
      </c>
      <c r="F139" s="80" t="str">
        <f>CONCATENATE(Table42[[#This Row],[Part]]," ",Table42[[#This Row],[Status]])</f>
        <v>Section 4 - 1 Functional Acceptance Test Not Checked</v>
      </c>
      <c r="G139" s="81"/>
      <c r="H139" s="82"/>
      <c r="I139" s="82"/>
      <c r="J139" s="82"/>
      <c r="K139" s="82" t="s">
        <v>122</v>
      </c>
      <c r="L139" s="82" t="s">
        <v>122</v>
      </c>
      <c r="M139" s="82"/>
      <c r="N139" s="82"/>
      <c r="O139" s="82"/>
      <c r="P139" s="82" t="s">
        <v>122</v>
      </c>
      <c r="Q139" s="82"/>
      <c r="R139" s="82"/>
      <c r="S139" s="82"/>
      <c r="T139" s="82"/>
      <c r="U139" s="82" t="s">
        <v>122</v>
      </c>
      <c r="V139" s="82" t="s">
        <v>122</v>
      </c>
      <c r="W139" s="82" t="s">
        <v>313</v>
      </c>
      <c r="X139" s="82"/>
      <c r="Y139" s="82"/>
      <c r="Z139" s="82" t="s">
        <v>313</v>
      </c>
      <c r="AA139" s="82" t="s">
        <v>352</v>
      </c>
    </row>
    <row r="140" spans="1:27" hidden="1" x14ac:dyDescent="0.25">
      <c r="A140" s="48">
        <v>88</v>
      </c>
      <c r="B140" s="48" t="s">
        <v>60</v>
      </c>
      <c r="C140" s="48" t="s">
        <v>99</v>
      </c>
      <c r="D140" s="48" t="s">
        <v>45</v>
      </c>
      <c r="E140" s="80" t="s">
        <v>36</v>
      </c>
      <c r="F140" s="80" t="str">
        <f>CONCATENATE(Table42[[#This Row],[Part]]," ",Table42[[#This Row],[Status]])</f>
        <v>4.1.1 What's being tested Not Checked</v>
      </c>
      <c r="G140" s="81" t="s">
        <v>122</v>
      </c>
      <c r="H140" s="82" t="s">
        <v>122</v>
      </c>
      <c r="I140" s="82" t="s">
        <v>122</v>
      </c>
      <c r="J140" s="82" t="s">
        <v>122</v>
      </c>
      <c r="K140" s="82" t="s">
        <v>122</v>
      </c>
      <c r="L140" s="82" t="s">
        <v>122</v>
      </c>
      <c r="M140" s="82" t="s">
        <v>122</v>
      </c>
      <c r="N140" s="82" t="s">
        <v>122</v>
      </c>
      <c r="O140" s="82" t="s">
        <v>122</v>
      </c>
      <c r="P140" s="82" t="s">
        <v>122</v>
      </c>
      <c r="Q140" s="82" t="s">
        <v>122</v>
      </c>
      <c r="R140" s="82" t="s">
        <v>122</v>
      </c>
      <c r="S140" s="82" t="s">
        <v>122</v>
      </c>
      <c r="T140" s="82" t="s">
        <v>122</v>
      </c>
      <c r="U140" s="82"/>
      <c r="V140" s="82"/>
      <c r="W140" s="82"/>
      <c r="X140" s="82"/>
      <c r="Y140" s="82"/>
      <c r="Z140" s="82"/>
      <c r="AA140" s="82"/>
    </row>
    <row r="141" spans="1:27" hidden="1" x14ac:dyDescent="0.25">
      <c r="A141" s="48">
        <v>86</v>
      </c>
      <c r="B141" s="48" t="s">
        <v>60</v>
      </c>
      <c r="C141" s="48" t="s">
        <v>100</v>
      </c>
      <c r="D141" s="48" t="s">
        <v>289</v>
      </c>
      <c r="E141" s="80" t="s">
        <v>36</v>
      </c>
      <c r="F141" s="80" t="str">
        <f>CONCATENATE(Table42[[#This Row],[Part]]," ",Table42[[#This Row],[Status]])</f>
        <v>4.1.2 Test Data Not Checked</v>
      </c>
      <c r="G141" s="81" t="s">
        <v>122</v>
      </c>
      <c r="H141" s="82" t="s">
        <v>122</v>
      </c>
      <c r="I141" s="82" t="s">
        <v>122</v>
      </c>
      <c r="J141" s="82" t="s">
        <v>122</v>
      </c>
      <c r="K141" s="82" t="s">
        <v>122</v>
      </c>
      <c r="L141" s="82" t="s">
        <v>122</v>
      </c>
      <c r="M141" s="82" t="s">
        <v>122</v>
      </c>
      <c r="N141" s="82" t="s">
        <v>122</v>
      </c>
      <c r="O141" s="82" t="s">
        <v>122</v>
      </c>
      <c r="P141" s="82" t="s">
        <v>122</v>
      </c>
      <c r="Q141" s="82" t="s">
        <v>122</v>
      </c>
      <c r="R141" s="82" t="s">
        <v>122</v>
      </c>
      <c r="S141" s="82" t="s">
        <v>122</v>
      </c>
      <c r="T141" s="82" t="s">
        <v>122</v>
      </c>
      <c r="U141" s="82"/>
      <c r="V141" s="82"/>
      <c r="W141" s="82"/>
      <c r="X141" s="82"/>
      <c r="Y141" s="82"/>
      <c r="Z141" s="82"/>
      <c r="AA141" s="82"/>
    </row>
    <row r="142" spans="1:27" ht="30" hidden="1" x14ac:dyDescent="0.25">
      <c r="A142" s="48">
        <v>83</v>
      </c>
      <c r="B142" s="48" t="s">
        <v>60</v>
      </c>
      <c r="C142" s="48" t="s">
        <v>101</v>
      </c>
      <c r="D142" s="48" t="s">
        <v>290</v>
      </c>
      <c r="E142" s="80" t="s">
        <v>36</v>
      </c>
      <c r="F142" s="80" t="str">
        <f>CONCATENATE(Table42[[#This Row],[Part]]," ",Table42[[#This Row],[Status]])</f>
        <v>4.1.3 Test Protocol Not Checked</v>
      </c>
      <c r="G142" s="81" t="s">
        <v>122</v>
      </c>
      <c r="H142" s="82" t="s">
        <v>122</v>
      </c>
      <c r="I142" s="82" t="s">
        <v>122</v>
      </c>
      <c r="J142" s="82" t="s">
        <v>122</v>
      </c>
      <c r="K142" s="82" t="s">
        <v>122</v>
      </c>
      <c r="L142" s="82" t="s">
        <v>122</v>
      </c>
      <c r="M142" s="82" t="s">
        <v>122</v>
      </c>
      <c r="N142" s="82" t="s">
        <v>122</v>
      </c>
      <c r="O142" s="82" t="s">
        <v>122</v>
      </c>
      <c r="P142" s="82" t="s">
        <v>122</v>
      </c>
      <c r="Q142" s="82" t="s">
        <v>122</v>
      </c>
      <c r="R142" s="82" t="s">
        <v>122</v>
      </c>
      <c r="S142" s="82" t="s">
        <v>122</v>
      </c>
      <c r="T142" s="82" t="s">
        <v>122</v>
      </c>
      <c r="U142" s="82"/>
      <c r="V142" s="82"/>
      <c r="W142" s="82"/>
      <c r="X142" s="82"/>
      <c r="Y142" s="82"/>
      <c r="Z142" s="82"/>
      <c r="AA142" s="82"/>
    </row>
    <row r="143" spans="1:27" hidden="1" x14ac:dyDescent="0.25">
      <c r="A143" s="48">
        <v>85</v>
      </c>
      <c r="B143" s="48" t="s">
        <v>60</v>
      </c>
      <c r="C143" s="48" t="s">
        <v>101</v>
      </c>
      <c r="D143" s="48" t="s">
        <v>291</v>
      </c>
      <c r="E143" s="80" t="s">
        <v>36</v>
      </c>
      <c r="F143" s="80" t="str">
        <f>CONCATENATE(Table42[[#This Row],[Part]]," ",Table42[[#This Row],[Status]])</f>
        <v>4.1.3 Test Protocol Not Checked</v>
      </c>
      <c r="G143" s="81"/>
      <c r="H143" s="82" t="s">
        <v>122</v>
      </c>
      <c r="I143" s="82"/>
      <c r="J143" s="82"/>
      <c r="K143" s="82"/>
      <c r="L143" s="82" t="s">
        <v>122</v>
      </c>
      <c r="M143" s="82"/>
      <c r="N143" s="82"/>
      <c r="O143" s="82"/>
      <c r="P143" s="82" t="s">
        <v>122</v>
      </c>
      <c r="Q143" s="82"/>
      <c r="R143" s="82"/>
      <c r="S143" s="82" t="s">
        <v>122</v>
      </c>
      <c r="T143" s="82" t="s">
        <v>122</v>
      </c>
      <c r="U143" s="82"/>
      <c r="V143" s="82"/>
      <c r="W143" s="82"/>
      <c r="X143" s="82"/>
      <c r="Y143" s="82"/>
      <c r="Z143" s="82"/>
      <c r="AA143" s="82"/>
    </row>
    <row r="144" spans="1:27" ht="60" hidden="1" x14ac:dyDescent="0.25">
      <c r="A144" s="48">
        <v>92</v>
      </c>
      <c r="B144" s="48" t="s">
        <v>60</v>
      </c>
      <c r="C144" s="48" t="s">
        <v>101</v>
      </c>
      <c r="D144" s="48" t="s">
        <v>292</v>
      </c>
      <c r="E144" s="80" t="s">
        <v>36</v>
      </c>
      <c r="F144" s="80" t="str">
        <f>CONCATENATE(Table42[[#This Row],[Part]]," ",Table42[[#This Row],[Status]])</f>
        <v>4.1.3 Test Protocol Not Checked</v>
      </c>
      <c r="G144" s="81" t="s">
        <v>122</v>
      </c>
      <c r="H144" s="82" t="s">
        <v>122</v>
      </c>
      <c r="I144" s="82" t="s">
        <v>122</v>
      </c>
      <c r="J144" s="82" t="s">
        <v>122</v>
      </c>
      <c r="K144" s="82" t="s">
        <v>122</v>
      </c>
      <c r="L144" s="82" t="s">
        <v>122</v>
      </c>
      <c r="M144" s="82" t="s">
        <v>122</v>
      </c>
      <c r="N144" s="82" t="s">
        <v>122</v>
      </c>
      <c r="O144" s="82" t="s">
        <v>122</v>
      </c>
      <c r="P144" s="82" t="s">
        <v>122</v>
      </c>
      <c r="Q144" s="82" t="s">
        <v>122</v>
      </c>
      <c r="R144" s="82" t="s">
        <v>122</v>
      </c>
      <c r="S144" s="82" t="s">
        <v>122</v>
      </c>
      <c r="T144" s="82" t="s">
        <v>122</v>
      </c>
      <c r="U144" s="82"/>
      <c r="V144" s="82"/>
      <c r="W144" s="82"/>
      <c r="X144" s="82"/>
      <c r="Y144" s="82"/>
      <c r="Z144" s="82"/>
      <c r="AA144" s="82"/>
    </row>
    <row r="145" spans="1:27" ht="45" hidden="1" x14ac:dyDescent="0.25">
      <c r="A145" s="48">
        <v>97</v>
      </c>
      <c r="B145" s="48" t="s">
        <v>60</v>
      </c>
      <c r="C145" s="48" t="s">
        <v>103</v>
      </c>
      <c r="D145" s="48" t="s">
        <v>262</v>
      </c>
      <c r="E145" s="80" t="s">
        <v>36</v>
      </c>
      <c r="F145" s="80" t="str">
        <f>CONCATENATE(Table42[[#This Row],[Part]]," ",Table42[[#This Row],[Status]])</f>
        <v>4.1.5 Test Verification Not Checked</v>
      </c>
      <c r="G145" s="81" t="s">
        <v>122</v>
      </c>
      <c r="H145" s="82" t="s">
        <v>122</v>
      </c>
      <c r="I145" s="82" t="s">
        <v>122</v>
      </c>
      <c r="J145" s="82" t="s">
        <v>122</v>
      </c>
      <c r="K145" s="82" t="s">
        <v>122</v>
      </c>
      <c r="L145" s="82" t="s">
        <v>122</v>
      </c>
      <c r="M145" s="82" t="s">
        <v>122</v>
      </c>
      <c r="N145" s="82" t="s">
        <v>122</v>
      </c>
      <c r="O145" s="82" t="s">
        <v>122</v>
      </c>
      <c r="P145" s="82" t="s">
        <v>122</v>
      </c>
      <c r="Q145" s="82" t="s">
        <v>122</v>
      </c>
      <c r="R145" s="82" t="s">
        <v>122</v>
      </c>
      <c r="S145" s="82" t="s">
        <v>122</v>
      </c>
      <c r="T145" s="82" t="s">
        <v>122</v>
      </c>
      <c r="U145" s="82"/>
      <c r="V145" s="82"/>
      <c r="W145" s="82"/>
      <c r="X145" s="82"/>
      <c r="Y145" s="82"/>
      <c r="Z145" s="82"/>
      <c r="AA145" s="82"/>
    </row>
    <row r="146" spans="1:27" ht="30" hidden="1" x14ac:dyDescent="0.25">
      <c r="A146" s="48">
        <v>98</v>
      </c>
      <c r="B146" s="48" t="s">
        <v>60</v>
      </c>
      <c r="C146" s="48" t="s">
        <v>104</v>
      </c>
      <c r="D146" s="48" t="s">
        <v>293</v>
      </c>
      <c r="E146" s="80" t="s">
        <v>36</v>
      </c>
      <c r="F146" s="80" t="str">
        <f>CONCATENATE(Table42[[#This Row],[Part]]," ",Table42[[#This Row],[Status]])</f>
        <v>4.1.6 Test Responsability Not Checked</v>
      </c>
      <c r="G146" s="81" t="s">
        <v>122</v>
      </c>
      <c r="H146" s="82" t="s">
        <v>122</v>
      </c>
      <c r="I146" s="82" t="s">
        <v>122</v>
      </c>
      <c r="J146" s="82" t="s">
        <v>122</v>
      </c>
      <c r="K146" s="82" t="s">
        <v>122</v>
      </c>
      <c r="L146" s="82" t="s">
        <v>122</v>
      </c>
      <c r="M146" s="82" t="s">
        <v>122</v>
      </c>
      <c r="N146" s="82" t="s">
        <v>122</v>
      </c>
      <c r="O146" s="82" t="s">
        <v>122</v>
      </c>
      <c r="P146" s="82" t="s">
        <v>122</v>
      </c>
      <c r="Q146" s="82" t="s">
        <v>122</v>
      </c>
      <c r="R146" s="82" t="s">
        <v>122</v>
      </c>
      <c r="S146" s="82" t="s">
        <v>122</v>
      </c>
      <c r="T146" s="82" t="s">
        <v>122</v>
      </c>
      <c r="U146" s="82"/>
      <c r="V146" s="82"/>
      <c r="W146" s="82"/>
      <c r="X146" s="82"/>
      <c r="Y146" s="82"/>
      <c r="Z146" s="82"/>
      <c r="AA146" s="82"/>
    </row>
    <row r="147" spans="1:27" ht="45" x14ac:dyDescent="0.25">
      <c r="A147" s="48">
        <v>121</v>
      </c>
      <c r="B147" s="48" t="s">
        <v>191</v>
      </c>
      <c r="C147" s="48" t="s">
        <v>176</v>
      </c>
      <c r="D147" s="91" t="s">
        <v>46</v>
      </c>
      <c r="E147" s="80" t="s">
        <v>36</v>
      </c>
      <c r="F147" s="80" t="str">
        <f>CONCATENATE(Table42[[#This Row],[Part]]," ",Table42[[#This Row],[Status]])</f>
        <v>Section 4 - 2 Limit &amp; Negative Acceptance Tests Not Checked</v>
      </c>
      <c r="G147" s="81"/>
      <c r="H147" s="82"/>
      <c r="I147" s="82"/>
      <c r="J147" s="82"/>
      <c r="K147" s="82" t="s">
        <v>122</v>
      </c>
      <c r="L147" s="82" t="s">
        <v>122</v>
      </c>
      <c r="M147" s="82"/>
      <c r="N147" s="82"/>
      <c r="O147" s="82"/>
      <c r="P147" s="82" t="s">
        <v>122</v>
      </c>
      <c r="Q147" s="82"/>
      <c r="R147" s="82"/>
      <c r="S147" s="82"/>
      <c r="T147" s="82"/>
      <c r="U147" s="82" t="s">
        <v>122</v>
      </c>
      <c r="V147" s="82" t="s">
        <v>122</v>
      </c>
      <c r="W147" s="82" t="s">
        <v>313</v>
      </c>
      <c r="X147" s="82"/>
      <c r="Y147" s="82"/>
      <c r="Z147" s="82" t="s">
        <v>313</v>
      </c>
      <c r="AA147" s="82" t="s">
        <v>353</v>
      </c>
    </row>
    <row r="148" spans="1:27" ht="45" x14ac:dyDescent="0.25">
      <c r="A148" s="48">
        <v>121</v>
      </c>
      <c r="B148" s="48" t="s">
        <v>191</v>
      </c>
      <c r="C148" s="48" t="s">
        <v>176</v>
      </c>
      <c r="D148" s="91" t="s">
        <v>294</v>
      </c>
      <c r="E148" s="80" t="s">
        <v>36</v>
      </c>
      <c r="F148" s="80" t="str">
        <f>CONCATENATE(Table42[[#This Row],[Part]]," ",Table42[[#This Row],[Status]])</f>
        <v>Section 4 - 2 Limit &amp; Negative Acceptance Tests Not Checked</v>
      </c>
      <c r="G148" s="81"/>
      <c r="H148" s="82"/>
      <c r="I148" s="82"/>
      <c r="J148" s="82"/>
      <c r="K148" s="82" t="s">
        <v>122</v>
      </c>
      <c r="L148" s="82" t="s">
        <v>122</v>
      </c>
      <c r="M148" s="82"/>
      <c r="N148" s="82"/>
      <c r="O148" s="82"/>
      <c r="P148" s="82" t="s">
        <v>122</v>
      </c>
      <c r="Q148" s="82" t="s">
        <v>122</v>
      </c>
      <c r="R148" s="82"/>
      <c r="S148" s="82"/>
      <c r="T148" s="82"/>
      <c r="U148" s="82" t="s">
        <v>122</v>
      </c>
      <c r="V148" s="82" t="s">
        <v>122</v>
      </c>
      <c r="W148" s="82" t="s">
        <v>313</v>
      </c>
      <c r="X148" s="82"/>
      <c r="Y148" s="82"/>
      <c r="Z148" s="82" t="s">
        <v>313</v>
      </c>
      <c r="AA148" s="82" t="s">
        <v>354</v>
      </c>
    </row>
    <row r="149" spans="1:27" ht="60" x14ac:dyDescent="0.25">
      <c r="A149" s="48">
        <v>121</v>
      </c>
      <c r="B149" s="48" t="s">
        <v>191</v>
      </c>
      <c r="C149" s="48" t="s">
        <v>206</v>
      </c>
      <c r="D149" s="92" t="s">
        <v>237</v>
      </c>
      <c r="E149" s="80" t="s">
        <v>36</v>
      </c>
      <c r="F149" s="80" t="str">
        <f>CONCATENATE(Table42[[#This Row],[Part]]," ",Table42[[#This Row],[Status]])</f>
        <v>Section 4 - 3 Performance/Capacity/Scalability Acceptance Tests Not Checked</v>
      </c>
      <c r="G149" s="81" t="s">
        <v>122</v>
      </c>
      <c r="H149" s="82" t="s">
        <v>122</v>
      </c>
      <c r="I149" s="82" t="s">
        <v>122</v>
      </c>
      <c r="J149" s="82" t="s">
        <v>122</v>
      </c>
      <c r="K149" s="82" t="s">
        <v>122</v>
      </c>
      <c r="L149" s="82" t="s">
        <v>122</v>
      </c>
      <c r="M149" s="82" t="s">
        <v>122</v>
      </c>
      <c r="N149" s="82" t="s">
        <v>122</v>
      </c>
      <c r="O149" s="82" t="s">
        <v>122</v>
      </c>
      <c r="P149" s="82" t="s">
        <v>122</v>
      </c>
      <c r="Q149" s="82" t="s">
        <v>122</v>
      </c>
      <c r="R149" s="82" t="s">
        <v>122</v>
      </c>
      <c r="S149" s="82"/>
      <c r="T149" s="82"/>
      <c r="U149" s="82" t="s">
        <v>122</v>
      </c>
      <c r="V149" s="82" t="s">
        <v>122</v>
      </c>
      <c r="W149" s="82" t="s">
        <v>313</v>
      </c>
      <c r="X149" s="82"/>
      <c r="Y149" s="82" t="s">
        <v>359</v>
      </c>
      <c r="Z149" s="82" t="s">
        <v>322</v>
      </c>
      <c r="AA149" s="82" t="s">
        <v>355</v>
      </c>
    </row>
    <row r="150" spans="1:27" ht="60" x14ac:dyDescent="0.25">
      <c r="A150" s="48">
        <v>121</v>
      </c>
      <c r="B150" s="48" t="s">
        <v>191</v>
      </c>
      <c r="C150" s="48" t="s">
        <v>180</v>
      </c>
      <c r="D150" s="95" t="s">
        <v>234</v>
      </c>
      <c r="E150" s="80" t="s">
        <v>36</v>
      </c>
      <c r="F150" s="80" t="str">
        <f>CONCATENATE(Table42[[#This Row],[Part]]," ",Table42[[#This Row],[Status]])</f>
        <v>Section 4 - 4 Page Objects Usage in Acceptance Tests Not Checked</v>
      </c>
      <c r="G150" s="81" t="s">
        <v>122</v>
      </c>
      <c r="H150" s="82" t="s">
        <v>122</v>
      </c>
      <c r="I150" s="82" t="s">
        <v>122</v>
      </c>
      <c r="J150" s="82" t="s">
        <v>122</v>
      </c>
      <c r="K150" s="82" t="s">
        <v>122</v>
      </c>
      <c r="L150" s="82" t="s">
        <v>122</v>
      </c>
      <c r="M150" s="82" t="s">
        <v>122</v>
      </c>
      <c r="N150" s="82" t="s">
        <v>122</v>
      </c>
      <c r="O150" s="82" t="s">
        <v>122</v>
      </c>
      <c r="P150" s="82" t="s">
        <v>122</v>
      </c>
      <c r="Q150" s="82" t="s">
        <v>122</v>
      </c>
      <c r="R150" s="82" t="s">
        <v>122</v>
      </c>
      <c r="S150" s="82"/>
      <c r="T150" s="82"/>
      <c r="U150" s="82" t="s">
        <v>122</v>
      </c>
      <c r="V150" s="82" t="s">
        <v>122</v>
      </c>
      <c r="W150" s="82" t="s">
        <v>313</v>
      </c>
      <c r="X150" s="82" t="s">
        <v>327</v>
      </c>
      <c r="Y150" s="82" t="s">
        <v>344</v>
      </c>
      <c r="Z150" s="82" t="s">
        <v>322</v>
      </c>
      <c r="AA150" s="82" t="s">
        <v>356</v>
      </c>
    </row>
    <row r="151" spans="1:27" ht="30" hidden="1" x14ac:dyDescent="0.25">
      <c r="A151" s="48">
        <v>120</v>
      </c>
      <c r="B151" s="48" t="s">
        <v>60</v>
      </c>
      <c r="C151" s="48" t="s">
        <v>254</v>
      </c>
      <c r="D151" s="49" t="s">
        <v>295</v>
      </c>
      <c r="E151" s="80" t="s">
        <v>36</v>
      </c>
      <c r="F151" s="80" t="str">
        <f>CONCATENATE(Table42[[#This Row],[Part]]," ",Table42[[#This Row],[Status]])</f>
        <v>4.3 Performance–Capacity–Scalability Acceptance Test Not Checked</v>
      </c>
      <c r="G151" s="81" t="s">
        <v>122</v>
      </c>
      <c r="H151" s="82" t="s">
        <v>122</v>
      </c>
      <c r="I151" s="82" t="s">
        <v>122</v>
      </c>
      <c r="J151" s="82" t="s">
        <v>122</v>
      </c>
      <c r="K151" s="82" t="s">
        <v>122</v>
      </c>
      <c r="L151" s="82" t="s">
        <v>122</v>
      </c>
      <c r="M151" s="82" t="s">
        <v>122</v>
      </c>
      <c r="N151" s="82" t="s">
        <v>122</v>
      </c>
      <c r="O151" s="82" t="s">
        <v>122</v>
      </c>
      <c r="P151" s="82" t="s">
        <v>122</v>
      </c>
      <c r="Q151" s="82" t="s">
        <v>122</v>
      </c>
      <c r="R151" s="82" t="s">
        <v>122</v>
      </c>
      <c r="S151" s="82" t="s">
        <v>122</v>
      </c>
      <c r="T151" s="82" t="s">
        <v>122</v>
      </c>
      <c r="U151" s="82"/>
      <c r="V151" s="82"/>
      <c r="W151" s="82"/>
      <c r="X151" s="82"/>
      <c r="Y151" s="82"/>
      <c r="Z151" s="82"/>
      <c r="AA151" s="82"/>
    </row>
    <row r="152" spans="1:27" ht="30" x14ac:dyDescent="0.25">
      <c r="A152" s="48">
        <v>121</v>
      </c>
      <c r="B152" s="48" t="s">
        <v>192</v>
      </c>
      <c r="C152" s="48" t="s">
        <v>192</v>
      </c>
      <c r="D152" s="91" t="s">
        <v>238</v>
      </c>
      <c r="E152" s="80" t="s">
        <v>36</v>
      </c>
      <c r="F152" s="80" t="str">
        <f>CONCATENATE(Table42[[#This Row],[Part]]," ",Table42[[#This Row],[Status]])</f>
        <v>Section 5. 3DSpace Baseline Behavior Support Not Checked</v>
      </c>
      <c r="G152" s="81" t="s">
        <v>122</v>
      </c>
      <c r="H152" s="82" t="s">
        <v>122</v>
      </c>
      <c r="I152" s="82" t="s">
        <v>122</v>
      </c>
      <c r="J152" s="82" t="s">
        <v>122</v>
      </c>
      <c r="K152" s="82" t="s">
        <v>122</v>
      </c>
      <c r="L152" s="82" t="s">
        <v>122</v>
      </c>
      <c r="M152" s="82" t="s">
        <v>122</v>
      </c>
      <c r="N152" s="82" t="s">
        <v>122</v>
      </c>
      <c r="O152" s="82" t="s">
        <v>122</v>
      </c>
      <c r="P152" s="82" t="s">
        <v>122</v>
      </c>
      <c r="Q152" s="82" t="s">
        <v>122</v>
      </c>
      <c r="R152" s="82" t="s">
        <v>122</v>
      </c>
      <c r="S152" s="82"/>
      <c r="T152" s="82"/>
      <c r="U152" s="82" t="s">
        <v>122</v>
      </c>
      <c r="V152" s="82" t="s">
        <v>122</v>
      </c>
      <c r="W152" s="82" t="s">
        <v>313</v>
      </c>
      <c r="X152" s="82"/>
      <c r="Y152" s="82"/>
      <c r="Z152" s="82"/>
      <c r="AA152" s="82"/>
    </row>
    <row r="153" spans="1:27" ht="30" x14ac:dyDescent="0.25">
      <c r="A153" s="48">
        <v>121</v>
      </c>
      <c r="B153" s="48" t="s">
        <v>192</v>
      </c>
      <c r="C153" s="48" t="s">
        <v>192</v>
      </c>
      <c r="D153" s="91" t="s">
        <v>296</v>
      </c>
      <c r="E153" s="80" t="s">
        <v>36</v>
      </c>
      <c r="F153" s="80" t="str">
        <f>CONCATENATE(Table42[[#This Row],[Part]]," ",Table42[[#This Row],[Status]])</f>
        <v>Section 5. 3DSpace Baseline Behavior Support Not Checked</v>
      </c>
      <c r="G153" s="81" t="s">
        <v>122</v>
      </c>
      <c r="H153" s="82" t="s">
        <v>122</v>
      </c>
      <c r="I153" s="82" t="s">
        <v>122</v>
      </c>
      <c r="J153" s="82" t="s">
        <v>122</v>
      </c>
      <c r="K153" s="82" t="s">
        <v>122</v>
      </c>
      <c r="L153" s="82" t="s">
        <v>122</v>
      </c>
      <c r="M153" s="82" t="s">
        <v>122</v>
      </c>
      <c r="N153" s="82" t="s">
        <v>122</v>
      </c>
      <c r="O153" s="82" t="s">
        <v>122</v>
      </c>
      <c r="P153" s="82" t="s">
        <v>122</v>
      </c>
      <c r="Q153" s="82" t="s">
        <v>122</v>
      </c>
      <c r="R153" s="82" t="s">
        <v>122</v>
      </c>
      <c r="S153" s="82"/>
      <c r="T153" s="82"/>
      <c r="U153" s="82" t="s">
        <v>122</v>
      </c>
      <c r="V153" s="82" t="s">
        <v>122</v>
      </c>
      <c r="W153" s="82" t="s">
        <v>313</v>
      </c>
      <c r="X153" s="82"/>
      <c r="Y153" s="82"/>
      <c r="Z153" s="82"/>
      <c r="AA153" s="82"/>
    </row>
    <row r="154" spans="1:27" ht="30" hidden="1" x14ac:dyDescent="0.25">
      <c r="A154" s="48">
        <v>100</v>
      </c>
      <c r="B154" s="48" t="s">
        <v>86</v>
      </c>
      <c r="C154" s="48" t="s">
        <v>88</v>
      </c>
      <c r="D154" s="48" t="s">
        <v>297</v>
      </c>
      <c r="E154" s="80" t="s">
        <v>36</v>
      </c>
      <c r="F154" s="80" t="str">
        <f>CONCATENATE(Table42[[#This Row],[Part]]," ",Table42[[#This Row],[Status]])</f>
        <v>5.1 User Documentation Not Checked</v>
      </c>
      <c r="G154" s="81" t="s">
        <v>122</v>
      </c>
      <c r="H154" s="82" t="s">
        <v>122</v>
      </c>
      <c r="I154" s="82" t="s">
        <v>122</v>
      </c>
      <c r="J154" s="82" t="s">
        <v>122</v>
      </c>
      <c r="K154" s="82" t="s">
        <v>122</v>
      </c>
      <c r="L154" s="82" t="s">
        <v>122</v>
      </c>
      <c r="M154" s="82" t="s">
        <v>122</v>
      </c>
      <c r="N154" s="82" t="s">
        <v>122</v>
      </c>
      <c r="O154" s="82" t="s">
        <v>122</v>
      </c>
      <c r="P154" s="82" t="s">
        <v>122</v>
      </c>
      <c r="Q154" s="82" t="s">
        <v>122</v>
      </c>
      <c r="R154" s="82" t="s">
        <v>122</v>
      </c>
      <c r="S154" s="82" t="s">
        <v>122</v>
      </c>
      <c r="T154" s="82" t="s">
        <v>122</v>
      </c>
      <c r="U154" s="82"/>
      <c r="V154" s="82"/>
      <c r="W154" s="82"/>
      <c r="X154" s="82"/>
      <c r="Y154" s="82"/>
      <c r="Z154" s="82"/>
      <c r="AA154" s="82"/>
    </row>
    <row r="155" spans="1:27" hidden="1" x14ac:dyDescent="0.25">
      <c r="A155" s="48">
        <v>101</v>
      </c>
      <c r="B155" s="48" t="s">
        <v>86</v>
      </c>
      <c r="C155" s="48" t="s">
        <v>89</v>
      </c>
      <c r="D155" s="48" t="s">
        <v>217</v>
      </c>
      <c r="E155" s="80" t="s">
        <v>36</v>
      </c>
      <c r="F155" s="80" t="str">
        <f>CONCATENATE(Table42[[#This Row],[Part]]," ",Table42[[#This Row],[Status]])</f>
        <v>5.2 Embedded User Assistance (Tooltips, UA Panel, Etc.) Not Checked</v>
      </c>
      <c r="G155" s="81" t="s">
        <v>122</v>
      </c>
      <c r="H155" s="82" t="s">
        <v>122</v>
      </c>
      <c r="I155" s="82" t="s">
        <v>122</v>
      </c>
      <c r="J155" s="82" t="s">
        <v>122</v>
      </c>
      <c r="K155" s="82" t="s">
        <v>122</v>
      </c>
      <c r="L155" s="82" t="s">
        <v>122</v>
      </c>
      <c r="M155" s="82" t="s">
        <v>122</v>
      </c>
      <c r="N155" s="82" t="s">
        <v>122</v>
      </c>
      <c r="O155" s="82" t="s">
        <v>122</v>
      </c>
      <c r="P155" s="82" t="s">
        <v>122</v>
      </c>
      <c r="Q155" s="82" t="s">
        <v>122</v>
      </c>
      <c r="R155" s="82" t="s">
        <v>122</v>
      </c>
      <c r="S155" s="82" t="s">
        <v>122</v>
      </c>
      <c r="T155" s="82" t="s">
        <v>122</v>
      </c>
      <c r="U155" s="82"/>
      <c r="V155" s="82"/>
      <c r="W155" s="82"/>
      <c r="X155" s="82"/>
      <c r="Y155" s="82"/>
      <c r="Z155" s="82"/>
      <c r="AA155" s="82"/>
    </row>
    <row r="156" spans="1:27" hidden="1" x14ac:dyDescent="0.25">
      <c r="A156" s="48">
        <v>102</v>
      </c>
      <c r="B156" s="48" t="s">
        <v>86</v>
      </c>
      <c r="C156" s="48" t="s">
        <v>90</v>
      </c>
      <c r="D156" s="48" t="s">
        <v>238</v>
      </c>
      <c r="E156" s="80" t="s">
        <v>36</v>
      </c>
      <c r="F156" s="80" t="str">
        <f>CONCATENATE(Table42[[#This Row],[Part]]," ",Table42[[#This Row],[Status]])</f>
        <v>5.3 3DSpace Baseline Behavior Support Not Checked</v>
      </c>
      <c r="G156" s="81" t="s">
        <v>122</v>
      </c>
      <c r="H156" s="82" t="s">
        <v>122</v>
      </c>
      <c r="I156" s="82" t="s">
        <v>122</v>
      </c>
      <c r="J156" s="82" t="s">
        <v>122</v>
      </c>
      <c r="K156" s="82" t="s">
        <v>122</v>
      </c>
      <c r="L156" s="82" t="s">
        <v>122</v>
      </c>
      <c r="M156" s="82" t="s">
        <v>122</v>
      </c>
      <c r="N156" s="82" t="s">
        <v>122</v>
      </c>
      <c r="O156" s="82" t="s">
        <v>122</v>
      </c>
      <c r="P156" s="82" t="s">
        <v>122</v>
      </c>
      <c r="Q156" s="82" t="s">
        <v>122</v>
      </c>
      <c r="R156" s="82" t="s">
        <v>122</v>
      </c>
      <c r="S156" s="82" t="s">
        <v>122</v>
      </c>
      <c r="T156" s="82" t="s">
        <v>122</v>
      </c>
      <c r="U156" s="82"/>
      <c r="V156" s="82"/>
      <c r="W156" s="82"/>
      <c r="X156" s="82"/>
      <c r="Y156" s="82"/>
      <c r="Z156" s="82"/>
      <c r="AA156" s="82"/>
    </row>
    <row r="157" spans="1:27" ht="30" x14ac:dyDescent="0.25">
      <c r="A157" s="48">
        <v>121</v>
      </c>
      <c r="B157" s="48" t="s">
        <v>179</v>
      </c>
      <c r="C157" s="48" t="s">
        <v>177</v>
      </c>
      <c r="D157" s="91" t="s">
        <v>299</v>
      </c>
      <c r="E157" s="80" t="s">
        <v>36</v>
      </c>
      <c r="F157" s="80" t="str">
        <f>CONCATENATE(Table42[[#This Row],[Part]]," ",Table42[[#This Row],[Status]])</f>
        <v>Section 6 - 1 Reference Materials Not Checked</v>
      </c>
      <c r="G157" s="81" t="s">
        <v>122</v>
      </c>
      <c r="H157" s="82" t="s">
        <v>122</v>
      </c>
      <c r="I157" s="82" t="s">
        <v>122</v>
      </c>
      <c r="J157" s="82" t="s">
        <v>122</v>
      </c>
      <c r="K157" s="82" t="s">
        <v>122</v>
      </c>
      <c r="L157" s="82" t="s">
        <v>122</v>
      </c>
      <c r="M157" s="82" t="s">
        <v>122</v>
      </c>
      <c r="N157" s="82" t="s">
        <v>122</v>
      </c>
      <c r="O157" s="82" t="s">
        <v>122</v>
      </c>
      <c r="P157" s="82" t="s">
        <v>122</v>
      </c>
      <c r="Q157" s="82" t="s">
        <v>122</v>
      </c>
      <c r="R157" s="82" t="s">
        <v>122</v>
      </c>
      <c r="S157" s="82"/>
      <c r="T157" s="82"/>
      <c r="U157" s="82" t="s">
        <v>122</v>
      </c>
      <c r="V157" s="82" t="s">
        <v>122</v>
      </c>
      <c r="W157" s="82" t="s">
        <v>313</v>
      </c>
      <c r="X157" s="82"/>
      <c r="Y157" s="82"/>
      <c r="Z157" s="82"/>
      <c r="AA157" s="82"/>
    </row>
    <row r="158" spans="1:27" ht="30" x14ac:dyDescent="0.25">
      <c r="A158" s="48">
        <v>121</v>
      </c>
      <c r="B158" s="48" t="s">
        <v>179</v>
      </c>
      <c r="C158" s="48" t="s">
        <v>177</v>
      </c>
      <c r="D158" s="91" t="s">
        <v>298</v>
      </c>
      <c r="E158" s="80" t="s">
        <v>36</v>
      </c>
      <c r="F158" s="80" t="str">
        <f>CONCATENATE(Table42[[#This Row],[Part]]," ",Table42[[#This Row],[Status]])</f>
        <v>Section 6 - 1 Reference Materials Not Checked</v>
      </c>
      <c r="G158" s="81"/>
      <c r="H158" s="82"/>
      <c r="I158" s="82"/>
      <c r="J158" s="82"/>
      <c r="K158" s="82" t="s">
        <v>122</v>
      </c>
      <c r="L158" s="82" t="s">
        <v>122</v>
      </c>
      <c r="M158" s="82"/>
      <c r="N158" s="82"/>
      <c r="O158" s="82"/>
      <c r="P158" s="82"/>
      <c r="Q158" s="82" t="s">
        <v>122</v>
      </c>
      <c r="R158" s="82"/>
      <c r="S158" s="82"/>
      <c r="T158" s="82"/>
      <c r="U158" s="82" t="s">
        <v>122</v>
      </c>
      <c r="V158" s="82" t="s">
        <v>122</v>
      </c>
      <c r="W158" s="82" t="s">
        <v>313</v>
      </c>
      <c r="X158" s="82"/>
      <c r="Y158" s="82"/>
      <c r="Z158" s="82"/>
      <c r="AA158" s="82"/>
    </row>
    <row r="159" spans="1:27" ht="30" hidden="1" x14ac:dyDescent="0.25">
      <c r="A159" s="48">
        <v>103</v>
      </c>
      <c r="B159" s="48" t="s">
        <v>87</v>
      </c>
      <c r="C159" s="48" t="s">
        <v>91</v>
      </c>
      <c r="D159" s="48" t="s">
        <v>299</v>
      </c>
      <c r="E159" s="80" t="s">
        <v>36</v>
      </c>
      <c r="F159" s="80" t="str">
        <f>CONCATENATE(Table42[[#This Row],[Part]]," ",Table42[[#This Row],[Status]])</f>
        <v>6.1 Reference Materials Not Checked</v>
      </c>
      <c r="G159" s="81" t="s">
        <v>122</v>
      </c>
      <c r="H159" s="82" t="s">
        <v>122</v>
      </c>
      <c r="I159" s="82" t="s">
        <v>122</v>
      </c>
      <c r="J159" s="82" t="s">
        <v>122</v>
      </c>
      <c r="K159" s="82" t="s">
        <v>122</v>
      </c>
      <c r="L159" s="82" t="s">
        <v>122</v>
      </c>
      <c r="M159" s="82" t="s">
        <v>122</v>
      </c>
      <c r="N159" s="82" t="s">
        <v>122</v>
      </c>
      <c r="O159" s="82" t="s">
        <v>122</v>
      </c>
      <c r="P159" s="82" t="s">
        <v>122</v>
      </c>
      <c r="Q159" s="82" t="s">
        <v>122</v>
      </c>
      <c r="R159" s="82" t="s">
        <v>122</v>
      </c>
      <c r="S159" s="82" t="s">
        <v>122</v>
      </c>
      <c r="T159" s="82" t="s">
        <v>122</v>
      </c>
      <c r="U159" s="82"/>
      <c r="V159" s="82"/>
      <c r="W159" s="82"/>
      <c r="X159" s="82"/>
      <c r="Y159" s="82"/>
      <c r="Z159" s="82"/>
      <c r="AA159" s="82"/>
    </row>
    <row r="160" spans="1:27" ht="30" hidden="1" x14ac:dyDescent="0.25">
      <c r="A160" s="48">
        <v>108</v>
      </c>
      <c r="B160" s="48" t="s">
        <v>87</v>
      </c>
      <c r="C160" s="48" t="s">
        <v>91</v>
      </c>
      <c r="D160" s="48" t="s">
        <v>298</v>
      </c>
      <c r="E160" s="80" t="s">
        <v>36</v>
      </c>
      <c r="F160" s="80" t="str">
        <f>CONCATENATE(Table42[[#This Row],[Part]]," ",Table42[[#This Row],[Status]])</f>
        <v>6.1 Reference Materials Not Checked</v>
      </c>
      <c r="G160" s="81"/>
      <c r="H160" s="82"/>
      <c r="I160" s="82"/>
      <c r="J160" s="82"/>
      <c r="K160" s="82" t="s">
        <v>122</v>
      </c>
      <c r="L160" s="82" t="s">
        <v>122</v>
      </c>
      <c r="M160" s="82"/>
      <c r="N160" s="82"/>
      <c r="O160" s="82"/>
      <c r="P160" s="82"/>
      <c r="Q160" s="82" t="s">
        <v>122</v>
      </c>
      <c r="R160" s="82"/>
      <c r="S160" s="82" t="s">
        <v>122</v>
      </c>
      <c r="T160" s="82" t="s">
        <v>122</v>
      </c>
      <c r="U160" s="82"/>
      <c r="V160" s="82"/>
      <c r="W160" s="82"/>
      <c r="X160" s="82"/>
      <c r="Y160" s="82"/>
      <c r="Z160" s="82"/>
      <c r="AA160" s="82"/>
    </row>
    <row r="161" spans="1:27" ht="45" hidden="1" x14ac:dyDescent="0.25">
      <c r="A161" s="48">
        <v>121</v>
      </c>
      <c r="B161" s="48" t="s">
        <v>17</v>
      </c>
      <c r="C161" s="48" t="s">
        <v>47</v>
      </c>
      <c r="D161" s="48" t="s">
        <v>239</v>
      </c>
      <c r="E161" s="80" t="s">
        <v>36</v>
      </c>
      <c r="F161" s="80" t="str">
        <f>CONCATENATE(Table42[[#This Row],[Part]]," ",Table42[[#This Row],[Status]])</f>
        <v>Other Not Checked</v>
      </c>
      <c r="G161" s="81"/>
      <c r="H161" s="82"/>
      <c r="I161" s="82"/>
      <c r="J161" s="82"/>
      <c r="K161" s="82"/>
      <c r="L161" s="82" t="s">
        <v>122</v>
      </c>
      <c r="M161" s="82"/>
      <c r="N161" s="82"/>
      <c r="O161" s="82"/>
      <c r="P161" s="82"/>
      <c r="Q161" s="82"/>
      <c r="R161" s="82"/>
      <c r="S161" s="82" t="s">
        <v>122</v>
      </c>
      <c r="T161" s="82" t="s">
        <v>122</v>
      </c>
      <c r="U161" s="82" t="s">
        <v>122</v>
      </c>
      <c r="V161" s="82" t="s">
        <v>122</v>
      </c>
      <c r="W161" s="82"/>
      <c r="X161" s="82"/>
      <c r="Y161" s="82"/>
      <c r="Z161" s="82"/>
      <c r="AA161" s="82"/>
    </row>
    <row r="162" spans="1:27" ht="45" hidden="1" x14ac:dyDescent="0.25">
      <c r="A162" s="48">
        <v>121</v>
      </c>
      <c r="B162" s="48" t="s">
        <v>17</v>
      </c>
      <c r="C162" s="48" t="s">
        <v>47</v>
      </c>
      <c r="D162" s="48" t="s">
        <v>300</v>
      </c>
      <c r="E162" s="80" t="s">
        <v>36</v>
      </c>
      <c r="F162" s="80" t="str">
        <f>CONCATENATE(Table42[[#This Row],[Part]]," ",Table42[[#This Row],[Status]])</f>
        <v>Other Not Checked</v>
      </c>
      <c r="G162" s="81"/>
      <c r="H162" s="82"/>
      <c r="I162" s="82"/>
      <c r="J162" s="82"/>
      <c r="K162" s="82"/>
      <c r="L162" s="82" t="s">
        <v>122</v>
      </c>
      <c r="M162" s="82"/>
      <c r="N162" s="82"/>
      <c r="O162" s="82"/>
      <c r="P162" s="82"/>
      <c r="Q162" s="82"/>
      <c r="R162" s="82"/>
      <c r="S162" s="82" t="s">
        <v>122</v>
      </c>
      <c r="T162" s="82" t="s">
        <v>122</v>
      </c>
      <c r="U162" s="82" t="s">
        <v>122</v>
      </c>
      <c r="V162" s="82" t="s">
        <v>122</v>
      </c>
      <c r="W162" s="82"/>
      <c r="X162" s="82"/>
      <c r="Y162" s="82"/>
      <c r="Z162" s="82"/>
      <c r="AA162" s="82"/>
    </row>
    <row r="163" spans="1:27" hidden="1" x14ac:dyDescent="0.25">
      <c r="A163" s="48">
        <v>121</v>
      </c>
      <c r="B163" s="48" t="s">
        <v>17</v>
      </c>
      <c r="C163" s="48" t="s">
        <v>47</v>
      </c>
      <c r="D163" s="48" t="s">
        <v>301</v>
      </c>
      <c r="E163" s="80" t="s">
        <v>36</v>
      </c>
      <c r="F163" s="80" t="str">
        <f>CONCATENATE(Table42[[#This Row],[Part]]," ",Table42[[#This Row],[Status]])</f>
        <v>Other Not Checked</v>
      </c>
      <c r="G163" s="81"/>
      <c r="H163" s="82"/>
      <c r="I163" s="82"/>
      <c r="J163" s="82"/>
      <c r="K163" s="82"/>
      <c r="L163" s="82" t="s">
        <v>122</v>
      </c>
      <c r="M163" s="82"/>
      <c r="N163" s="82"/>
      <c r="O163" s="82"/>
      <c r="P163" s="82"/>
      <c r="Q163" s="82"/>
      <c r="R163" s="82"/>
      <c r="S163" s="82" t="s">
        <v>122</v>
      </c>
      <c r="T163" s="82" t="s">
        <v>122</v>
      </c>
      <c r="U163" s="82" t="s">
        <v>122</v>
      </c>
      <c r="V163" s="82" t="s">
        <v>122</v>
      </c>
      <c r="W163" s="82"/>
      <c r="X163" s="82"/>
      <c r="Y163" s="82"/>
      <c r="Z163" s="82"/>
      <c r="AA163" s="82"/>
    </row>
    <row r="164" spans="1:27" ht="30" hidden="1" x14ac:dyDescent="0.25">
      <c r="A164" s="48">
        <v>121</v>
      </c>
      <c r="B164" s="48" t="s">
        <v>17</v>
      </c>
      <c r="C164" s="48" t="s">
        <v>47</v>
      </c>
      <c r="D164" s="48" t="s">
        <v>302</v>
      </c>
      <c r="E164" s="80" t="s">
        <v>36</v>
      </c>
      <c r="F164" s="80" t="str">
        <f>CONCATENATE(Table42[[#This Row],[Part]]," ",Table42[[#This Row],[Status]])</f>
        <v>Other Not Checked</v>
      </c>
      <c r="G164" s="81"/>
      <c r="H164" s="82"/>
      <c r="I164" s="82"/>
      <c r="J164" s="82"/>
      <c r="K164" s="82"/>
      <c r="L164" s="82" t="s">
        <v>122</v>
      </c>
      <c r="M164" s="82"/>
      <c r="N164" s="82"/>
      <c r="O164" s="82"/>
      <c r="P164" s="82"/>
      <c r="Q164" s="82" t="s">
        <v>122</v>
      </c>
      <c r="R164" s="82"/>
      <c r="S164" s="82" t="s">
        <v>122</v>
      </c>
      <c r="T164" s="82" t="s">
        <v>122</v>
      </c>
      <c r="U164" s="82" t="s">
        <v>122</v>
      </c>
      <c r="V164" s="82" t="s">
        <v>122</v>
      </c>
      <c r="W164" s="82"/>
      <c r="X164" s="82"/>
      <c r="Y164" s="82"/>
      <c r="Z164" s="82"/>
      <c r="AA164" s="82"/>
    </row>
    <row r="165" spans="1:27" ht="45" hidden="1" x14ac:dyDescent="0.25">
      <c r="A165" s="48">
        <v>121</v>
      </c>
      <c r="B165" s="48" t="s">
        <v>17</v>
      </c>
      <c r="C165" s="48" t="s">
        <v>47</v>
      </c>
      <c r="D165" s="48" t="s">
        <v>303</v>
      </c>
      <c r="E165" s="80" t="s">
        <v>36</v>
      </c>
      <c r="F165" s="80" t="str">
        <f>CONCATENATE(Table42[[#This Row],[Part]]," ",Table42[[#This Row],[Status]])</f>
        <v>Other Not Checked</v>
      </c>
      <c r="G165" s="81"/>
      <c r="H165" s="82"/>
      <c r="I165" s="82"/>
      <c r="J165" s="82"/>
      <c r="K165" s="82"/>
      <c r="L165" s="82" t="s">
        <v>122</v>
      </c>
      <c r="M165" s="82"/>
      <c r="N165" s="82"/>
      <c r="O165" s="82"/>
      <c r="P165" s="82"/>
      <c r="Q165" s="82"/>
      <c r="R165" s="82"/>
      <c r="S165" s="82" t="s">
        <v>122</v>
      </c>
      <c r="T165" s="82" t="s">
        <v>122</v>
      </c>
      <c r="U165" s="82" t="s">
        <v>122</v>
      </c>
      <c r="V165" s="82" t="s">
        <v>122</v>
      </c>
      <c r="W165" s="82"/>
      <c r="X165" s="82"/>
      <c r="Y165" s="82"/>
      <c r="Z165" s="82"/>
      <c r="AA165" s="82"/>
    </row>
    <row r="166" spans="1:27" hidden="1" x14ac:dyDescent="0.25">
      <c r="A166" s="48">
        <v>121</v>
      </c>
      <c r="B166" s="48" t="s">
        <v>17</v>
      </c>
      <c r="C166" s="48" t="s">
        <v>47</v>
      </c>
      <c r="D166" s="48" t="s">
        <v>304</v>
      </c>
      <c r="E166" s="80" t="s">
        <v>36</v>
      </c>
      <c r="F166" s="80" t="str">
        <f>CONCATENATE(Table42[[#This Row],[Part]]," ",Table42[[#This Row],[Status]])</f>
        <v>Other Not Checked</v>
      </c>
      <c r="G166" s="81"/>
      <c r="H166" s="82"/>
      <c r="I166" s="82"/>
      <c r="J166" s="82"/>
      <c r="K166" s="82"/>
      <c r="L166" s="82" t="s">
        <v>122</v>
      </c>
      <c r="M166" s="82"/>
      <c r="N166" s="82"/>
      <c r="O166" s="82"/>
      <c r="P166" s="82"/>
      <c r="Q166" s="82" t="s">
        <v>122</v>
      </c>
      <c r="R166" s="82"/>
      <c r="S166" s="82" t="s">
        <v>122</v>
      </c>
      <c r="T166" s="82" t="s">
        <v>122</v>
      </c>
      <c r="U166" s="82" t="s">
        <v>122</v>
      </c>
      <c r="V166" s="82" t="s">
        <v>122</v>
      </c>
      <c r="W166" s="82"/>
      <c r="X166" s="82"/>
      <c r="Y166" s="82"/>
      <c r="Z166" s="82"/>
      <c r="AA166" s="82"/>
    </row>
    <row r="167" spans="1:27" hidden="1" x14ac:dyDescent="0.25">
      <c r="A167" s="48">
        <v>121</v>
      </c>
      <c r="B167" s="48" t="s">
        <v>17</v>
      </c>
      <c r="C167" s="48" t="s">
        <v>47</v>
      </c>
      <c r="D167" s="48" t="s">
        <v>305</v>
      </c>
      <c r="E167" s="80" t="s">
        <v>36</v>
      </c>
      <c r="F167" s="80" t="str">
        <f>CONCATENATE(Table42[[#This Row],[Part]]," ",Table42[[#This Row],[Status]])</f>
        <v>Other Not Checked</v>
      </c>
      <c r="G167" s="81"/>
      <c r="H167" s="82"/>
      <c r="I167" s="82"/>
      <c r="J167" s="82"/>
      <c r="K167" s="82"/>
      <c r="L167" s="82" t="s">
        <v>122</v>
      </c>
      <c r="M167" s="82"/>
      <c r="N167" s="82"/>
      <c r="O167" s="82"/>
      <c r="P167" s="82"/>
      <c r="Q167" s="82"/>
      <c r="R167" s="82"/>
      <c r="S167" s="82" t="s">
        <v>122</v>
      </c>
      <c r="T167" s="82" t="s">
        <v>122</v>
      </c>
      <c r="U167" s="82" t="s">
        <v>122</v>
      </c>
      <c r="V167" s="82" t="s">
        <v>122</v>
      </c>
      <c r="W167" s="82"/>
      <c r="X167" s="82"/>
      <c r="Y167" s="82"/>
      <c r="Z167" s="82"/>
      <c r="AA167" s="82"/>
    </row>
    <row r="168" spans="1:27" ht="45" hidden="1" x14ac:dyDescent="0.25">
      <c r="A168" s="48">
        <v>121</v>
      </c>
      <c r="B168" s="48" t="s">
        <v>17</v>
      </c>
      <c r="C168" s="48" t="s">
        <v>47</v>
      </c>
      <c r="D168" s="48" t="s">
        <v>306</v>
      </c>
      <c r="E168" s="80" t="s">
        <v>36</v>
      </c>
      <c r="F168" s="80" t="str">
        <f>CONCATENATE(Table42[[#This Row],[Part]]," ",Table42[[#This Row],[Status]])</f>
        <v>Other Not Checked</v>
      </c>
      <c r="G168" s="81"/>
      <c r="H168" s="82"/>
      <c r="I168" s="82"/>
      <c r="J168" s="82"/>
      <c r="K168" s="82"/>
      <c r="L168" s="82" t="s">
        <v>122</v>
      </c>
      <c r="M168" s="82"/>
      <c r="N168" s="82"/>
      <c r="O168" s="82"/>
      <c r="P168" s="82"/>
      <c r="Q168" s="82"/>
      <c r="R168" s="82"/>
      <c r="S168" s="82" t="s">
        <v>122</v>
      </c>
      <c r="T168" s="82" t="s">
        <v>122</v>
      </c>
      <c r="U168" s="82" t="s">
        <v>122</v>
      </c>
      <c r="V168" s="82" t="s">
        <v>122</v>
      </c>
      <c r="W168" s="82"/>
      <c r="X168" s="82"/>
      <c r="Y168" s="82"/>
      <c r="Z168" s="82"/>
      <c r="AA168" s="82"/>
    </row>
    <row r="169" spans="1:27" hidden="1" x14ac:dyDescent="0.25">
      <c r="A169" s="48">
        <v>121</v>
      </c>
      <c r="B169" s="48" t="s">
        <v>17</v>
      </c>
      <c r="C169" s="48" t="s">
        <v>47</v>
      </c>
      <c r="D169" s="48" t="s">
        <v>307</v>
      </c>
      <c r="E169" s="80" t="s">
        <v>36</v>
      </c>
      <c r="F169" s="80" t="str">
        <f>CONCATENATE(Table42[[#This Row],[Part]]," ",Table42[[#This Row],[Status]])</f>
        <v>Other Not Checked</v>
      </c>
      <c r="G169" s="81"/>
      <c r="H169" s="82"/>
      <c r="I169" s="82"/>
      <c r="J169" s="82"/>
      <c r="K169" s="82"/>
      <c r="L169" s="82" t="s">
        <v>122</v>
      </c>
      <c r="M169" s="82"/>
      <c r="N169" s="82"/>
      <c r="O169" s="82"/>
      <c r="P169" s="82"/>
      <c r="Q169" s="82"/>
      <c r="R169" s="82"/>
      <c r="S169" s="82" t="s">
        <v>122</v>
      </c>
      <c r="T169" s="82" t="s">
        <v>122</v>
      </c>
      <c r="U169" s="82" t="s">
        <v>122</v>
      </c>
      <c r="V169" s="82" t="s">
        <v>122</v>
      </c>
      <c r="W169" s="82"/>
      <c r="X169" s="82"/>
      <c r="Y169" s="82"/>
      <c r="Z169" s="82"/>
      <c r="AA169" s="82"/>
    </row>
    <row r="170" spans="1:27" hidden="1" x14ac:dyDescent="0.25">
      <c r="A170" s="48">
        <v>121</v>
      </c>
      <c r="B170" s="48" t="s">
        <v>17</v>
      </c>
      <c r="C170" s="48" t="s">
        <v>47</v>
      </c>
      <c r="D170" s="48" t="s">
        <v>308</v>
      </c>
      <c r="E170" s="80" t="s">
        <v>36</v>
      </c>
      <c r="F170" s="80" t="str">
        <f>CONCATENATE(Table42[[#This Row],[Part]]," ",Table42[[#This Row],[Status]])</f>
        <v>Other Not Checked</v>
      </c>
      <c r="G170" s="81"/>
      <c r="H170" s="82"/>
      <c r="I170" s="82"/>
      <c r="J170" s="82"/>
      <c r="K170" s="82"/>
      <c r="L170" s="82" t="s">
        <v>122</v>
      </c>
      <c r="M170" s="82"/>
      <c r="N170" s="82"/>
      <c r="O170" s="82"/>
      <c r="P170" s="82"/>
      <c r="Q170" s="82"/>
      <c r="R170" s="82"/>
      <c r="S170" s="82" t="s">
        <v>122</v>
      </c>
      <c r="T170" s="82" t="s">
        <v>122</v>
      </c>
      <c r="U170" s="82" t="s">
        <v>122</v>
      </c>
      <c r="V170" s="82" t="s">
        <v>122</v>
      </c>
      <c r="W170" s="82"/>
      <c r="X170" s="82"/>
      <c r="Y170" s="82"/>
      <c r="Z170" s="82"/>
      <c r="AA170" s="82"/>
    </row>
    <row r="171" spans="1:27" ht="30" hidden="1" x14ac:dyDescent="0.25">
      <c r="A171" s="48">
        <v>119</v>
      </c>
      <c r="B171" s="48" t="s">
        <v>17</v>
      </c>
      <c r="C171" s="48" t="s">
        <v>35</v>
      </c>
      <c r="D171" s="48" t="s">
        <v>309</v>
      </c>
      <c r="E171" s="80" t="s">
        <v>36</v>
      </c>
      <c r="F171" s="80" t="str">
        <f>CONCATENATE(Table42[[#This Row],[Part]]," ",Table42[[#This Row],[Status]])</f>
        <v>PES General Information Not Checked</v>
      </c>
      <c r="G171" s="81" t="s">
        <v>122</v>
      </c>
      <c r="H171" s="82" t="s">
        <v>122</v>
      </c>
      <c r="I171" s="82" t="s">
        <v>122</v>
      </c>
      <c r="J171" s="82" t="s">
        <v>122</v>
      </c>
      <c r="K171" s="82" t="s">
        <v>122</v>
      </c>
      <c r="L171" s="82" t="s">
        <v>122</v>
      </c>
      <c r="M171" s="82" t="s">
        <v>122</v>
      </c>
      <c r="N171" s="82" t="s">
        <v>122</v>
      </c>
      <c r="O171" s="82" t="s">
        <v>122</v>
      </c>
      <c r="P171" s="82" t="s">
        <v>122</v>
      </c>
      <c r="Q171" s="82" t="s">
        <v>122</v>
      </c>
      <c r="R171" s="82" t="s">
        <v>122</v>
      </c>
      <c r="S171" s="82" t="s">
        <v>122</v>
      </c>
      <c r="T171" s="82"/>
      <c r="U171" s="82"/>
      <c r="V171" s="82"/>
      <c r="W171" s="82"/>
      <c r="X171" s="82"/>
      <c r="Y171" s="82"/>
      <c r="Z171" s="82"/>
      <c r="AA171" s="82"/>
    </row>
    <row r="172" spans="1:27" ht="30" hidden="1" x14ac:dyDescent="0.25">
      <c r="A172" s="48">
        <v>120</v>
      </c>
      <c r="B172" s="48" t="s">
        <v>17</v>
      </c>
      <c r="C172" s="48" t="s">
        <v>35</v>
      </c>
      <c r="D172" s="48" t="s">
        <v>310</v>
      </c>
      <c r="E172" s="80" t="s">
        <v>36</v>
      </c>
      <c r="F172" s="80" t="str">
        <f>CONCATENATE(Table42[[#This Row],[Part]]," ",Table42[[#This Row],[Status]])</f>
        <v>PES General Information Not Checked</v>
      </c>
      <c r="G172" s="81" t="s">
        <v>122</v>
      </c>
      <c r="H172" s="82" t="s">
        <v>122</v>
      </c>
      <c r="I172" s="82" t="s">
        <v>122</v>
      </c>
      <c r="J172" s="82" t="s">
        <v>122</v>
      </c>
      <c r="K172" s="82" t="s">
        <v>122</v>
      </c>
      <c r="L172" s="82" t="s">
        <v>122</v>
      </c>
      <c r="M172" s="82" t="s">
        <v>122</v>
      </c>
      <c r="N172" s="82" t="s">
        <v>122</v>
      </c>
      <c r="O172" s="82" t="s">
        <v>122</v>
      </c>
      <c r="P172" s="82" t="s">
        <v>122</v>
      </c>
      <c r="Q172" s="82" t="s">
        <v>122</v>
      </c>
      <c r="R172" s="82" t="s">
        <v>122</v>
      </c>
      <c r="S172" s="82"/>
      <c r="T172" s="82" t="s">
        <v>122</v>
      </c>
      <c r="U172" s="82"/>
      <c r="V172" s="82"/>
      <c r="W172" s="82"/>
      <c r="X172" s="82"/>
      <c r="Y172" s="82"/>
      <c r="Z172" s="82"/>
      <c r="AA172" s="82"/>
    </row>
    <row r="173" spans="1:27" x14ac:dyDescent="0.25">
      <c r="A173" s="48">
        <v>121</v>
      </c>
      <c r="B173" s="48" t="s">
        <v>194</v>
      </c>
      <c r="C173" s="48" t="s">
        <v>37</v>
      </c>
      <c r="D173" s="91" t="s">
        <v>311</v>
      </c>
      <c r="E173" s="80" t="s">
        <v>36</v>
      </c>
      <c r="F173" s="80" t="str">
        <f>CONCATENATE(Table42[[#This Row],[Part]]," ",Table42[[#This Row],[Status]])</f>
        <v>Table of Contents Not Checked</v>
      </c>
      <c r="G173" s="81" t="s">
        <v>122</v>
      </c>
      <c r="H173" s="82"/>
      <c r="I173" s="82" t="s">
        <v>122</v>
      </c>
      <c r="J173" s="82" t="s">
        <v>122</v>
      </c>
      <c r="K173" s="82" t="s">
        <v>122</v>
      </c>
      <c r="L173" s="82" t="s">
        <v>122</v>
      </c>
      <c r="M173" s="82" t="s">
        <v>122</v>
      </c>
      <c r="N173" s="82" t="s">
        <v>122</v>
      </c>
      <c r="O173" s="82" t="s">
        <v>122</v>
      </c>
      <c r="P173" s="82" t="s">
        <v>122</v>
      </c>
      <c r="Q173" s="82" t="s">
        <v>122</v>
      </c>
      <c r="R173" s="82" t="s">
        <v>122</v>
      </c>
      <c r="S173" s="82" t="s">
        <v>122</v>
      </c>
      <c r="T173" s="82" t="s">
        <v>122</v>
      </c>
      <c r="U173" s="82" t="s">
        <v>122</v>
      </c>
      <c r="V173" s="82" t="s">
        <v>122</v>
      </c>
      <c r="W173" s="82" t="s">
        <v>313</v>
      </c>
      <c r="X173" s="82"/>
      <c r="Y173" s="82"/>
      <c r="Z173" s="82"/>
      <c r="AA173" s="82"/>
    </row>
    <row r="174" spans="1:27" x14ac:dyDescent="0.25">
      <c r="A174" s="48">
        <v>121</v>
      </c>
      <c r="B174" s="48" t="s">
        <v>194</v>
      </c>
      <c r="C174" s="48" t="s">
        <v>37</v>
      </c>
      <c r="D174" s="91" t="s">
        <v>196</v>
      </c>
      <c r="E174" s="80" t="s">
        <v>36</v>
      </c>
      <c r="F174" s="80" t="str">
        <f>CONCATENATE(Table42[[#This Row],[Part]]," ",Table42[[#This Row],[Status]])</f>
        <v>Table of Contents Not Checked</v>
      </c>
      <c r="G174" s="81" t="s">
        <v>122</v>
      </c>
      <c r="H174" s="82"/>
      <c r="I174" s="82" t="s">
        <v>122</v>
      </c>
      <c r="J174" s="82" t="s">
        <v>122</v>
      </c>
      <c r="K174" s="82" t="s">
        <v>122</v>
      </c>
      <c r="L174" s="82" t="s">
        <v>122</v>
      </c>
      <c r="M174" s="82" t="s">
        <v>122</v>
      </c>
      <c r="N174" s="82" t="s">
        <v>122</v>
      </c>
      <c r="O174" s="82" t="s">
        <v>122</v>
      </c>
      <c r="P174" s="82" t="s">
        <v>122</v>
      </c>
      <c r="Q174" s="82" t="s">
        <v>122</v>
      </c>
      <c r="R174" s="82" t="s">
        <v>122</v>
      </c>
      <c r="S174" s="82" t="s">
        <v>122</v>
      </c>
      <c r="T174" s="82" t="s">
        <v>122</v>
      </c>
      <c r="U174" s="82" t="s">
        <v>122</v>
      </c>
      <c r="V174" s="82" t="s">
        <v>122</v>
      </c>
      <c r="W174" s="82" t="s">
        <v>313</v>
      </c>
      <c r="X174" s="82"/>
      <c r="Y174" s="82"/>
      <c r="Z174" s="82"/>
      <c r="AA174" s="82"/>
    </row>
  </sheetData>
  <dataConsolidate/>
  <mergeCells count="3">
    <mergeCell ref="A1:D1"/>
    <mergeCell ref="H1:R1"/>
    <mergeCell ref="S1:V1"/>
  </mergeCells>
  <phoneticPr fontId="18" type="noConversion"/>
  <conditionalFormatting sqref="E3:E174">
    <cfRule type="expression" dxfId="53" priority="1">
      <formula>($E3="Checked")</formula>
    </cfRule>
    <cfRule type="expression" dxfId="52" priority="2">
      <formula>($E3="Not Checked")</formula>
    </cfRule>
  </conditionalFormatting>
  <dataValidations count="5">
    <dataValidation type="list" allowBlank="1" showInputMessage="1" sqref="A175:A1048576 A1:A2 S2:U2 B2:B174" xr:uid="{00000000-0002-0000-0300-000000000000}">
      <formula1>Section</formula1>
    </dataValidation>
    <dataValidation type="list" allowBlank="1" showInputMessage="1" sqref="B1 B175:B1048576" xr:uid="{00000000-0002-0000-0300-000001000000}">
      <formula1>INDIRECT(CONCATENATE("_",SUBSTITUTE($A1," ","_")))</formula1>
    </dataValidation>
    <dataValidation type="list" allowBlank="1" showInputMessage="1" sqref="C2" xr:uid="{00000000-0002-0000-0300-000002000000}">
      <formula1>INDIRECT(CONCATENATE("_",SUBSTITUTE($B2," ","_")))</formula1>
    </dataValidation>
    <dataValidation type="list" allowBlank="1" showInputMessage="1" showErrorMessage="1" sqref="E3:E174" xr:uid="{D916BF1F-B6D9-4BB4-B7B5-EED8C657A48B}">
      <formula1>"Checked,Not Checked,"</formula1>
    </dataValidation>
    <dataValidation allowBlank="1" showInputMessage="1" sqref="A3:A174" xr:uid="{00000000-0002-0000-0300-000004000000}"/>
  </dataValidations>
  <pageMargins left="0.7" right="0.7" top="0.75" bottom="0.75" header="0.3" footer="0.3"/>
  <pageSetup paperSize="9" orientation="portrait" r:id="rId1"/>
  <legacyDrawing r:id="rId2"/>
  <picture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5000000}">
          <x14:formula1>
            <xm:f>Summary!$B$4:$B$102</xm:f>
          </x14:formula1>
          <xm:sqref>C3:C174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7"/>
  <sheetViews>
    <sheetView zoomScale="85" zoomScaleNormal="85" workbookViewId="0">
      <pane ySplit="2" topLeftCell="A3" activePane="bottomLeft" state="frozen"/>
      <selection pane="bottomLeft" activeCell="A3" sqref="A3"/>
    </sheetView>
  </sheetViews>
  <sheetFormatPr defaultRowHeight="15" x14ac:dyDescent="0.25"/>
  <cols>
    <col min="1" max="1" width="5.85546875" style="51" customWidth="1"/>
    <col min="2" max="2" width="9.7109375" style="51" bestFit="1" customWidth="1"/>
    <col min="3" max="3" width="10.140625" style="51" customWidth="1"/>
    <col min="4" max="4" width="24.28515625" style="51" customWidth="1"/>
    <col min="5" max="5" width="10.85546875" style="51" bestFit="1" customWidth="1"/>
    <col min="6" max="6" width="24.5703125" style="61" bestFit="1" customWidth="1"/>
    <col min="7" max="7" width="61.5703125" style="61" customWidth="1"/>
    <col min="8" max="8" width="32.7109375" style="61" customWidth="1"/>
    <col min="9" max="9" width="10" style="51" customWidth="1"/>
    <col min="10" max="10" width="28.7109375" style="61" customWidth="1"/>
    <col min="11" max="11" width="14.140625" style="51" bestFit="1" customWidth="1"/>
    <col min="12" max="12" width="14" style="51" bestFit="1" customWidth="1"/>
    <col min="13" max="13" width="57.7109375" style="61" customWidth="1"/>
    <col min="14" max="16384" width="9.140625" style="51"/>
  </cols>
  <sheetData>
    <row r="1" spans="1:13" x14ac:dyDescent="0.25">
      <c r="A1" s="121" t="s">
        <v>33</v>
      </c>
      <c r="B1" s="121"/>
      <c r="C1" s="121"/>
      <c r="D1" s="121"/>
      <c r="E1" s="121"/>
      <c r="F1" s="121"/>
      <c r="G1" s="121"/>
      <c r="H1" s="121"/>
      <c r="I1" s="122" t="s">
        <v>31</v>
      </c>
      <c r="J1" s="122"/>
      <c r="K1" s="122"/>
      <c r="L1" s="121" t="s">
        <v>32</v>
      </c>
      <c r="M1" s="121"/>
    </row>
    <row r="2" spans="1:13" x14ac:dyDescent="0.25">
      <c r="A2" s="52" t="s">
        <v>16</v>
      </c>
      <c r="B2" s="52" t="s">
        <v>10</v>
      </c>
      <c r="C2" s="52" t="s">
        <v>27</v>
      </c>
      <c r="D2" s="52" t="s">
        <v>146</v>
      </c>
      <c r="E2" s="52" t="s">
        <v>28</v>
      </c>
      <c r="F2" s="53" t="s">
        <v>130</v>
      </c>
      <c r="G2" s="53" t="s">
        <v>12</v>
      </c>
      <c r="H2" s="53" t="s">
        <v>26</v>
      </c>
      <c r="I2" s="54" t="s">
        <v>30</v>
      </c>
      <c r="J2" s="55" t="s">
        <v>15</v>
      </c>
      <c r="K2" s="54" t="s">
        <v>13</v>
      </c>
      <c r="L2" s="52" t="s">
        <v>14</v>
      </c>
      <c r="M2" s="53" t="s">
        <v>34</v>
      </c>
    </row>
    <row r="3" spans="1:13" x14ac:dyDescent="0.25">
      <c r="A3" s="56"/>
      <c r="B3" s="56"/>
      <c r="C3" s="56"/>
      <c r="D3" s="79"/>
      <c r="E3" s="57"/>
      <c r="F3" s="58"/>
      <c r="G3" s="59"/>
      <c r="H3" s="59"/>
      <c r="I3" s="56"/>
      <c r="J3" s="59"/>
      <c r="K3" s="56"/>
      <c r="L3" s="60"/>
      <c r="M3" s="59"/>
    </row>
    <row r="4" spans="1:13" x14ac:dyDescent="0.25">
      <c r="D4" s="79"/>
      <c r="F4" s="77"/>
    </row>
    <row r="5" spans="1:13" x14ac:dyDescent="0.25">
      <c r="D5" s="79"/>
      <c r="F5" s="77"/>
    </row>
    <row r="6" spans="1:13" x14ac:dyDescent="0.25">
      <c r="D6" s="79"/>
      <c r="F6" s="77"/>
    </row>
    <row r="7" spans="1:13" x14ac:dyDescent="0.25">
      <c r="D7" s="79"/>
      <c r="F7" s="77"/>
    </row>
  </sheetData>
  <mergeCells count="3">
    <mergeCell ref="A1:H1"/>
    <mergeCell ref="I1:K1"/>
    <mergeCell ref="L1:M1"/>
  </mergeCells>
  <dataValidations count="5">
    <dataValidation type="list" allowBlank="1" showInputMessage="1" showErrorMessage="1" sqref="H3" xr:uid="{00000000-0002-0000-0400-000000000000}">
      <formula1>Issue_Severity</formula1>
    </dataValidation>
    <dataValidation type="list" allowBlank="1" showInputMessage="1" showErrorMessage="1" sqref="K3" xr:uid="{00000000-0002-0000-0400-000001000000}">
      <formula1>" yes,no"</formula1>
    </dataValidation>
    <dataValidation type="list" allowBlank="1" showInputMessage="1" showErrorMessage="1" sqref="L3" xr:uid="{00000000-0002-0000-0400-000002000000}">
      <formula1>"Open,Closed"</formula1>
    </dataValidation>
    <dataValidation type="list" allowBlank="1" showInputMessage="1" showErrorMessage="1" sqref="I3" xr:uid="{00000000-0002-0000-0400-000003000000}">
      <formula1>"Accepted,Rejected"</formula1>
    </dataValidation>
    <dataValidation type="list" allowBlank="1" showInputMessage="1" showErrorMessage="1" sqref="F3" xr:uid="{00000000-0002-0000-0400-000004000000}">
      <formula1>Issue_Type</formula1>
    </dataValidation>
  </dataValidations>
  <pageMargins left="0.70866141732283472" right="0.70866141732283472" top="0.74803149606299213" bottom="0.74803149606299213" header="0.31496062992125984" footer="0.31496062992125984"/>
  <pageSetup paperSize="9" orientation="portrait" r:id="rId1"/>
  <headerFooter>
    <oddFooter>&amp;L&amp;BDASSAULT SYSTEMES Confidential&amp;B&amp;C&amp;D&amp;RPage &amp;P</oddFooter>
  </headerFooter>
  <legacyDrawing r:id="rId2"/>
  <picture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18979A24-3E83-49B7-9E8D-11DA7CEDBB64}">
          <x14:formula1>
            <xm:f>'PES Structure'!$G$2:$G$49</xm:f>
          </x14:formula1>
          <xm:sqref>D3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52"/>
  <sheetViews>
    <sheetView workbookViewId="0">
      <selection activeCell="G2" sqref="G2:G49"/>
    </sheetView>
  </sheetViews>
  <sheetFormatPr defaultRowHeight="15" x14ac:dyDescent="0.25"/>
  <cols>
    <col min="1" max="1" width="53" style="2" customWidth="1"/>
    <col min="2" max="2" width="8.85546875" style="2"/>
    <col min="3" max="3" width="36.28515625" style="4" bestFit="1" customWidth="1"/>
    <col min="5" max="5" width="23.28515625" bestFit="1" customWidth="1"/>
    <col min="7" max="7" width="110.7109375" customWidth="1"/>
  </cols>
  <sheetData>
    <row r="1" spans="1:8" ht="15.75" thickBot="1" x14ac:dyDescent="0.3">
      <c r="A1" s="2" t="s">
        <v>11</v>
      </c>
      <c r="C1" s="4" t="s">
        <v>4</v>
      </c>
      <c r="E1" t="s">
        <v>130</v>
      </c>
      <c r="G1" s="76" t="s">
        <v>235</v>
      </c>
    </row>
    <row r="2" spans="1:8" ht="15.75" thickTop="1" x14ac:dyDescent="0.25">
      <c r="A2" s="38" t="s">
        <v>17</v>
      </c>
      <c r="C2" s="4" t="s">
        <v>198</v>
      </c>
      <c r="D2" s="4"/>
      <c r="E2" t="s">
        <v>131</v>
      </c>
      <c r="G2" s="28" t="s">
        <v>35</v>
      </c>
    </row>
    <row r="3" spans="1:8" x14ac:dyDescent="0.25">
      <c r="A3" s="42" t="s">
        <v>58</v>
      </c>
      <c r="C3" s="6" t="s">
        <v>199</v>
      </c>
      <c r="E3" t="s">
        <v>132</v>
      </c>
      <c r="G3" s="28" t="s">
        <v>37</v>
      </c>
    </row>
    <row r="4" spans="1:8" x14ac:dyDescent="0.25">
      <c r="A4" s="42" t="s">
        <v>50</v>
      </c>
      <c r="C4" s="6" t="s">
        <v>95</v>
      </c>
      <c r="E4" t="s">
        <v>133</v>
      </c>
      <c r="G4" s="28" t="s">
        <v>47</v>
      </c>
    </row>
    <row r="5" spans="1:8" x14ac:dyDescent="0.25">
      <c r="A5" s="42" t="s">
        <v>59</v>
      </c>
      <c r="C5" s="6" t="s">
        <v>96</v>
      </c>
      <c r="E5" t="s">
        <v>134</v>
      </c>
      <c r="G5" s="30" t="s">
        <v>193</v>
      </c>
    </row>
    <row r="6" spans="1:8" x14ac:dyDescent="0.25">
      <c r="A6" s="42" t="s">
        <v>60</v>
      </c>
      <c r="C6" s="6" t="s">
        <v>197</v>
      </c>
      <c r="E6" t="s">
        <v>135</v>
      </c>
      <c r="G6" s="28" t="s">
        <v>149</v>
      </c>
    </row>
    <row r="7" spans="1:8" x14ac:dyDescent="0.25">
      <c r="A7" s="42" t="s">
        <v>86</v>
      </c>
      <c r="C7" s="6" t="s">
        <v>47</v>
      </c>
      <c r="E7" t="s">
        <v>136</v>
      </c>
      <c r="G7" s="28" t="s">
        <v>200</v>
      </c>
    </row>
    <row r="8" spans="1:8" x14ac:dyDescent="0.25">
      <c r="A8" s="42" t="s">
        <v>87</v>
      </c>
      <c r="E8" t="s">
        <v>137</v>
      </c>
      <c r="G8" s="28" t="s">
        <v>201</v>
      </c>
    </row>
    <row r="9" spans="1:8" x14ac:dyDescent="0.25">
      <c r="A9" s="39" t="s">
        <v>194</v>
      </c>
      <c r="E9" t="s">
        <v>47</v>
      </c>
      <c r="G9" s="46" t="s">
        <v>150</v>
      </c>
    </row>
    <row r="10" spans="1:8" x14ac:dyDescent="0.25">
      <c r="A10" s="39" t="s">
        <v>195</v>
      </c>
      <c r="G10" s="46" t="s">
        <v>151</v>
      </c>
    </row>
    <row r="11" spans="1:8" x14ac:dyDescent="0.25">
      <c r="A11" s="39" t="s">
        <v>190</v>
      </c>
      <c r="F11" s="41"/>
      <c r="G11" s="46" t="s">
        <v>152</v>
      </c>
      <c r="H11" s="41"/>
    </row>
    <row r="12" spans="1:8" x14ac:dyDescent="0.25">
      <c r="A12" s="39" t="s">
        <v>191</v>
      </c>
      <c r="F12" s="41"/>
      <c r="G12" s="28" t="s">
        <v>202</v>
      </c>
      <c r="H12" s="41"/>
    </row>
    <row r="13" spans="1:8" x14ac:dyDescent="0.25">
      <c r="A13" s="39" t="s">
        <v>192</v>
      </c>
      <c r="F13" s="41"/>
      <c r="G13" s="28" t="s">
        <v>153</v>
      </c>
      <c r="H13" s="41"/>
    </row>
    <row r="14" spans="1:8" x14ac:dyDescent="0.25">
      <c r="A14" s="39" t="s">
        <v>179</v>
      </c>
      <c r="F14" s="41"/>
      <c r="G14" s="46" t="s">
        <v>195</v>
      </c>
      <c r="H14" s="41"/>
    </row>
    <row r="15" spans="1:8" x14ac:dyDescent="0.25">
      <c r="F15" s="41"/>
      <c r="G15" s="46" t="s">
        <v>154</v>
      </c>
      <c r="H15" s="41"/>
    </row>
    <row r="16" spans="1:8" x14ac:dyDescent="0.25">
      <c r="F16" s="41"/>
      <c r="G16" s="46" t="s">
        <v>203</v>
      </c>
      <c r="H16" s="41"/>
    </row>
    <row r="17" spans="6:8" x14ac:dyDescent="0.25">
      <c r="F17" s="41"/>
      <c r="G17" s="46" t="s">
        <v>155</v>
      </c>
      <c r="H17" s="41"/>
    </row>
    <row r="18" spans="6:8" x14ac:dyDescent="0.25">
      <c r="F18" s="41"/>
      <c r="G18" s="46" t="s">
        <v>156</v>
      </c>
      <c r="H18" s="41"/>
    </row>
    <row r="19" spans="6:8" x14ac:dyDescent="0.25">
      <c r="F19" s="41"/>
      <c r="G19" s="46" t="s">
        <v>181</v>
      </c>
      <c r="H19" s="41"/>
    </row>
    <row r="20" spans="6:8" x14ac:dyDescent="0.25">
      <c r="F20" s="41"/>
      <c r="G20" s="46" t="s">
        <v>157</v>
      </c>
      <c r="H20" s="41"/>
    </row>
    <row r="21" spans="6:8" x14ac:dyDescent="0.25">
      <c r="F21" s="41"/>
      <c r="G21" s="46" t="s">
        <v>158</v>
      </c>
      <c r="H21" s="41"/>
    </row>
    <row r="22" spans="6:8" x14ac:dyDescent="0.25">
      <c r="F22" s="41"/>
      <c r="G22" s="46" t="s">
        <v>159</v>
      </c>
      <c r="H22" s="41"/>
    </row>
    <row r="23" spans="6:8" x14ac:dyDescent="0.25">
      <c r="F23" s="41"/>
      <c r="G23" s="46" t="s">
        <v>160</v>
      </c>
      <c r="H23" s="41"/>
    </row>
    <row r="24" spans="6:8" x14ac:dyDescent="0.25">
      <c r="F24" s="41"/>
      <c r="G24" s="46" t="s">
        <v>161</v>
      </c>
      <c r="H24" s="41"/>
    </row>
    <row r="25" spans="6:8" x14ac:dyDescent="0.25">
      <c r="F25" s="41"/>
      <c r="G25" s="46" t="s">
        <v>162</v>
      </c>
      <c r="H25" s="41"/>
    </row>
    <row r="26" spans="6:8" x14ac:dyDescent="0.25">
      <c r="F26" s="41"/>
      <c r="G26" s="46" t="s">
        <v>163</v>
      </c>
      <c r="H26" s="41"/>
    </row>
    <row r="27" spans="6:8" x14ac:dyDescent="0.25">
      <c r="F27" s="41"/>
      <c r="G27" s="46" t="s">
        <v>164</v>
      </c>
      <c r="H27" s="41"/>
    </row>
    <row r="28" spans="6:8" x14ac:dyDescent="0.25">
      <c r="F28" s="41"/>
      <c r="G28" s="46" t="s">
        <v>165</v>
      </c>
      <c r="H28" s="41"/>
    </row>
    <row r="29" spans="6:8" x14ac:dyDescent="0.25">
      <c r="F29" s="41"/>
      <c r="G29" s="46" t="s">
        <v>190</v>
      </c>
      <c r="H29" s="41"/>
    </row>
    <row r="30" spans="6:8" x14ac:dyDescent="0.25">
      <c r="F30" s="41"/>
      <c r="G30" s="46" t="s">
        <v>204</v>
      </c>
      <c r="H30" s="41"/>
    </row>
    <row r="31" spans="6:8" x14ac:dyDescent="0.25">
      <c r="F31" s="41"/>
      <c r="G31" s="46" t="s">
        <v>166</v>
      </c>
      <c r="H31" s="41"/>
    </row>
    <row r="32" spans="6:8" x14ac:dyDescent="0.25">
      <c r="F32" s="41"/>
      <c r="G32" s="46" t="s">
        <v>167</v>
      </c>
      <c r="H32" s="41"/>
    </row>
    <row r="33" spans="6:8" x14ac:dyDescent="0.25">
      <c r="F33" s="41"/>
      <c r="G33" s="46" t="s">
        <v>168</v>
      </c>
      <c r="H33" s="41"/>
    </row>
    <row r="34" spans="6:8" x14ac:dyDescent="0.25">
      <c r="F34" s="41"/>
      <c r="G34" s="46" t="s">
        <v>169</v>
      </c>
      <c r="H34" s="41"/>
    </row>
    <row r="35" spans="6:8" x14ac:dyDescent="0.25">
      <c r="F35" s="41"/>
      <c r="G35" s="46" t="s">
        <v>170</v>
      </c>
      <c r="H35" s="41"/>
    </row>
    <row r="36" spans="6:8" x14ac:dyDescent="0.25">
      <c r="F36" s="41"/>
      <c r="G36" s="46" t="s">
        <v>171</v>
      </c>
      <c r="H36" s="41"/>
    </row>
    <row r="37" spans="6:8" x14ac:dyDescent="0.25">
      <c r="F37" s="41"/>
      <c r="G37" s="46" t="s">
        <v>172</v>
      </c>
      <c r="H37" s="41"/>
    </row>
    <row r="38" spans="6:8" x14ac:dyDescent="0.25">
      <c r="F38" s="41"/>
      <c r="G38" s="46" t="s">
        <v>205</v>
      </c>
      <c r="H38" s="41"/>
    </row>
    <row r="39" spans="6:8" x14ac:dyDescent="0.25">
      <c r="F39" s="41"/>
      <c r="G39" s="46" t="s">
        <v>173</v>
      </c>
      <c r="H39" s="41"/>
    </row>
    <row r="40" spans="6:8" x14ac:dyDescent="0.25">
      <c r="F40" s="41"/>
      <c r="G40" s="46" t="s">
        <v>174</v>
      </c>
      <c r="H40" s="41"/>
    </row>
    <row r="41" spans="6:8" x14ac:dyDescent="0.25">
      <c r="F41" s="41"/>
      <c r="G41" s="46" t="s">
        <v>191</v>
      </c>
      <c r="H41" s="41"/>
    </row>
    <row r="42" spans="6:8" x14ac:dyDescent="0.25">
      <c r="F42" s="41"/>
      <c r="G42" s="46" t="s">
        <v>175</v>
      </c>
      <c r="H42" s="41"/>
    </row>
    <row r="43" spans="6:8" x14ac:dyDescent="0.25">
      <c r="F43" s="41"/>
      <c r="G43" s="46" t="s">
        <v>176</v>
      </c>
      <c r="H43" s="41"/>
    </row>
    <row r="44" spans="6:8" x14ac:dyDescent="0.25">
      <c r="F44" s="41"/>
      <c r="G44" s="46" t="s">
        <v>206</v>
      </c>
      <c r="H44" s="41"/>
    </row>
    <row r="45" spans="6:8" x14ac:dyDescent="0.25">
      <c r="F45" s="41"/>
      <c r="G45" s="46" t="s">
        <v>207</v>
      </c>
      <c r="H45" s="41"/>
    </row>
    <row r="46" spans="6:8" x14ac:dyDescent="0.25">
      <c r="F46" s="41"/>
      <c r="G46" s="46" t="s">
        <v>192</v>
      </c>
      <c r="H46" s="41"/>
    </row>
    <row r="47" spans="6:8" x14ac:dyDescent="0.25">
      <c r="F47" s="41"/>
      <c r="G47" s="46" t="s">
        <v>179</v>
      </c>
      <c r="H47" s="41"/>
    </row>
    <row r="48" spans="6:8" x14ac:dyDescent="0.25">
      <c r="F48" s="41"/>
      <c r="G48" s="46" t="s">
        <v>177</v>
      </c>
      <c r="H48" s="41"/>
    </row>
    <row r="49" spans="6:8" x14ac:dyDescent="0.25">
      <c r="F49" s="41"/>
      <c r="G49" s="46" t="s">
        <v>178</v>
      </c>
      <c r="H49" s="41"/>
    </row>
    <row r="50" spans="6:8" x14ac:dyDescent="0.25">
      <c r="F50" s="41"/>
      <c r="H50" s="41"/>
    </row>
    <row r="51" spans="6:8" x14ac:dyDescent="0.25">
      <c r="F51" s="41"/>
      <c r="H51" s="41"/>
    </row>
    <row r="52" spans="6:8" x14ac:dyDescent="0.25">
      <c r="F52" s="41"/>
      <c r="H52" s="41"/>
    </row>
  </sheetData>
  <dataValidations count="1">
    <dataValidation type="list" allowBlank="1" showInputMessage="1" showErrorMessage="1" sqref="G5 G14 G29 G41 G46:G47" xr:uid="{01AB1EBD-452E-4B13-823B-964BFE766CF6}">
      <formula1>Section</formula1>
    </dataValidation>
  </dataValidations>
  <pageMargins left="0.7" right="0.7" top="0.75" bottom="0.75" header="0.3" footer="0.3"/>
  <pageSetup paperSize="9" orientation="portrait" r:id="rId1"/>
  <tableParts count="4">
    <tablePart r:id="rId2"/>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E26D5AF-C8F8-4B45-80BE-CF8BD1502E7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How to use the template</vt:lpstr>
      <vt:lpstr>PES Review</vt:lpstr>
      <vt:lpstr>Summary</vt:lpstr>
      <vt:lpstr>CheckList</vt:lpstr>
      <vt:lpstr>Review</vt:lpstr>
      <vt:lpstr>PES Structure</vt:lpstr>
      <vt:lpstr>Brand</vt:lpstr>
      <vt:lpstr>Checklist</vt:lpstr>
      <vt:lpstr>Issue_Severity</vt:lpstr>
      <vt:lpstr>Issue_Type</vt:lpstr>
      <vt:lpstr>PES_Name</vt:lpstr>
      <vt:lpstr>PES_Version</vt:lpstr>
      <vt:lpstr>PESTemplateVersion</vt:lpstr>
      <vt:lpstr>ReviewComment</vt:lpstr>
      <vt:lpstr>Role</vt:lpstr>
      <vt:lpstr>Section</vt:lpstr>
      <vt:lpstr>Summary</vt:lpstr>
    </vt:vector>
  </TitlesOfParts>
  <Company>DASSAULT SYSTEMES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DURAND Aurelie</dc:creator>
  <cp:lastModifiedBy>G Sanjana (INTERN)</cp:lastModifiedBy>
  <cp:lastPrinted>2022-03-14T09:25:37Z</cp:lastPrinted>
  <dcterms:created xsi:type="dcterms:W3CDTF">2017-08-14T08:29:42Z</dcterms:created>
  <dcterms:modified xsi:type="dcterms:W3CDTF">2026-03-25T11:46:16Z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3.7</vt:lpwstr>
  </property>
  <property fmtid="{D5CDD505-2E9C-101B-9397-08002B2CF9AE}" pid="3" name="DocumentType">
    <vt:lpwstr>PESReview</vt:lpwstr>
  </property>
  <property fmtid="{D5CDD505-2E9C-101B-9397-08002B2CF9AE}" pid="4" name="PESTemplateVersion">
    <vt:lpwstr>5.5.1</vt:lpwstr>
  </property>
</Properties>
</file>